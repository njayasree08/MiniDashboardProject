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d.docs.live.net/aadf258902619d1e/Attachments/Downloads/"/>
    </mc:Choice>
  </mc:AlternateContent>
  <xr:revisionPtr revIDLastSave="730" documentId="11_E01EDFD1A0D12BF8DE170BBC7B5CFC635028C9BF" xr6:coauthVersionLast="47" xr6:coauthVersionMax="47" xr10:uidLastSave="{36531702-DD18-4AFB-97D3-AF0E63C66B69}"/>
  <bookViews>
    <workbookView xWindow="-108" yWindow="-108" windowWidth="23256" windowHeight="13896" activeTab="2" xr2:uid="{00000000-000D-0000-FFFF-FFFF00000000}"/>
  </bookViews>
  <sheets>
    <sheet name="PivotTable1" sheetId="3" r:id="rId1"/>
    <sheet name="Sheet4" sheetId="4" r:id="rId2"/>
    <sheet name="Sheet1" sheetId="5" r:id="rId3"/>
    <sheet name="Data" sheetId="1" r:id="rId4"/>
  </sheets>
  <definedNames>
    <definedName name="_xlcn.WorksheetConnection_DataAQ1" hidden="1">Data!$A:$Q</definedName>
    <definedName name="_xlcn.WorksheetConnection_Student_Marks_600_Rows.xlsxTable11" hidden="1">Table1[]</definedName>
    <definedName name="_xlcn.WorksheetConnection_Student_Marks_600_Rows.xlsxTable1Study_HoursFeedBack1" hidden="1">Table1[[Study_Hours]:[FeedBack]]</definedName>
    <definedName name="Slicer_City">#N/A</definedName>
    <definedName name="Slicer_Department">#N/A</definedName>
  </definedNames>
  <calcPr calcId="191029"/>
  <pivotCaches>
    <pivotCache cacheId="0" r:id="rId5"/>
    <pivotCache cacheId="1" r:id="rId6"/>
    <pivotCache cacheId="2" r:id="rId7"/>
    <pivotCache cacheId="3" r:id="rId8"/>
    <pivotCache cacheId="4" r:id="rId9"/>
    <pivotCache cacheId="5" r:id="rId10"/>
    <pivotCache cacheId="19" r:id="rId11"/>
  </pivotCaches>
  <fileRecoveryPr repairLoad="1"/>
  <extLst>
    <ext xmlns:x14="http://schemas.microsoft.com/office/spreadsheetml/2009/9/main" uri="{876F7934-8845-4945-9796-88D515C7AA90}">
      <x14:pivotCaches>
        <pivotCache cacheId="6"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Study_Hours   FeedBack" name="Table1  Study_Hours   FeedBack" connection="WorksheetConnection_Student_Marks_600_Rows.xlsx!Table1[[Study_Hours]:[FeedBack]]"/>
          <x15:modelTable id="Table1" name="Table1" connection="WorksheetConnection_Student_Marks_600_Rows.xlsx!Table1"/>
          <x15:modelTable id="Range" name="Range" connection="WorksheetConnection_Data!$A:$Q"/>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 l="1"/>
  <c r="O2" i="1"/>
  <c r="N2" i="1"/>
  <c r="Q11" i="1"/>
  <c r="Q12" i="1"/>
  <c r="Q13" i="1"/>
  <c r="Q14" i="1"/>
  <c r="Q17" i="1"/>
  <c r="Q26" i="1"/>
  <c r="Q27" i="1"/>
  <c r="Q28" i="1"/>
  <c r="Q29" i="1"/>
  <c r="Q30" i="1"/>
  <c r="Q33" i="1"/>
  <c r="Q42" i="1"/>
  <c r="Q43" i="1"/>
  <c r="Q44" i="1"/>
  <c r="Q45" i="1"/>
  <c r="Q46" i="1"/>
  <c r="Q48" i="1"/>
  <c r="Q49" i="1"/>
  <c r="Q58" i="1"/>
  <c r="Q59" i="1"/>
  <c r="Q60" i="1"/>
  <c r="Q61" i="1"/>
  <c r="Q62" i="1"/>
  <c r="Q64" i="1"/>
  <c r="Q65" i="1"/>
  <c r="Q75" i="1"/>
  <c r="Q76" i="1"/>
  <c r="Q77" i="1"/>
  <c r="Q78" i="1"/>
  <c r="Q81" i="1"/>
  <c r="Q87" i="1"/>
  <c r="Q90" i="1"/>
  <c r="Q91" i="1"/>
  <c r="Q92" i="1"/>
  <c r="Q93" i="1"/>
  <c r="Q94" i="1"/>
  <c r="Q96" i="1"/>
  <c r="Q97" i="1"/>
  <c r="Q107" i="1"/>
  <c r="Q108" i="1"/>
  <c r="Q109" i="1"/>
  <c r="Q110" i="1"/>
  <c r="Q112" i="1"/>
  <c r="Q113" i="1"/>
  <c r="Q123" i="1"/>
  <c r="Q124" i="1"/>
  <c r="Q125" i="1"/>
  <c r="Q126" i="1"/>
  <c r="Q129" i="1"/>
  <c r="Q138" i="1"/>
  <c r="Q139" i="1"/>
  <c r="Q140" i="1"/>
  <c r="Q141" i="1"/>
  <c r="Q142" i="1"/>
  <c r="Q143" i="1"/>
  <c r="Q145" i="1"/>
  <c r="Q154" i="1"/>
  <c r="Q155" i="1"/>
  <c r="Q156" i="1"/>
  <c r="Q157" i="1"/>
  <c r="Q158" i="1"/>
  <c r="Q161" i="1"/>
  <c r="Q171" i="1"/>
  <c r="Q172" i="1"/>
  <c r="Q173" i="1"/>
  <c r="Q174" i="1"/>
  <c r="Q176" i="1"/>
  <c r="Q177" i="1"/>
  <c r="Q186" i="1"/>
  <c r="Q187" i="1"/>
  <c r="Q188" i="1"/>
  <c r="Q189" i="1"/>
  <c r="Q190" i="1"/>
  <c r="Q192" i="1"/>
  <c r="Q193" i="1"/>
  <c r="Q202" i="1"/>
  <c r="Q203" i="1"/>
  <c r="Q204" i="1"/>
  <c r="Q205" i="1"/>
  <c r="Q206" i="1"/>
  <c r="Q208" i="1"/>
  <c r="Q209" i="1"/>
  <c r="Q219" i="1"/>
  <c r="Q220" i="1"/>
  <c r="Q221" i="1"/>
  <c r="Q222" i="1"/>
  <c r="Q224" i="1"/>
  <c r="Q225" i="1"/>
  <c r="Q231" i="1"/>
  <c r="Q235" i="1"/>
  <c r="Q236" i="1"/>
  <c r="Q237" i="1"/>
  <c r="Q238" i="1"/>
  <c r="Q241" i="1"/>
  <c r="Q251" i="1"/>
  <c r="Q252" i="1"/>
  <c r="Q253" i="1"/>
  <c r="Q254" i="1"/>
  <c r="Q255" i="1"/>
  <c r="Q256" i="1"/>
  <c r="Q257" i="1"/>
  <c r="Q267" i="1"/>
  <c r="Q268" i="1"/>
  <c r="Q269" i="1"/>
  <c r="Q270" i="1"/>
  <c r="Q273" i="1"/>
  <c r="Q282" i="1"/>
  <c r="Q283" i="1"/>
  <c r="Q284" i="1"/>
  <c r="Q285" i="1"/>
  <c r="Q286" i="1"/>
  <c r="Q289" i="1"/>
  <c r="Q298" i="1"/>
  <c r="Q299" i="1"/>
  <c r="Q300" i="1"/>
  <c r="Q301" i="1"/>
  <c r="Q302" i="1"/>
  <c r="Q304" i="1"/>
  <c r="Q305" i="1"/>
  <c r="Q314" i="1"/>
  <c r="Q315" i="1"/>
  <c r="Q316" i="1"/>
  <c r="Q317" i="1"/>
  <c r="Q318" i="1"/>
  <c r="Q320" i="1"/>
  <c r="Q321" i="1"/>
  <c r="Q331" i="1"/>
  <c r="Q332" i="1"/>
  <c r="Q333" i="1"/>
  <c r="Q334" i="1"/>
  <c r="Q337" i="1"/>
  <c r="Q343" i="1"/>
  <c r="Q346" i="1"/>
  <c r="Q347" i="1"/>
  <c r="Q348" i="1"/>
  <c r="Q349" i="1"/>
  <c r="Q350" i="1"/>
  <c r="Q352" i="1"/>
  <c r="Q353" i="1"/>
  <c r="Q363" i="1"/>
  <c r="Q364" i="1"/>
  <c r="Q365" i="1"/>
  <c r="Q366" i="1"/>
  <c r="Q368" i="1"/>
  <c r="Q369" i="1"/>
  <c r="Q379" i="1"/>
  <c r="Q380" i="1"/>
  <c r="Q381" i="1"/>
  <c r="Q382" i="1"/>
  <c r="Q385" i="1"/>
  <c r="Q394" i="1"/>
  <c r="Q395" i="1"/>
  <c r="Q396" i="1"/>
  <c r="Q397" i="1"/>
  <c r="Q398" i="1"/>
  <c r="Q399" i="1"/>
  <c r="Q401" i="1"/>
  <c r="Q410" i="1"/>
  <c r="Q411" i="1"/>
  <c r="Q412" i="1"/>
  <c r="Q413" i="1"/>
  <c r="Q414" i="1"/>
  <c r="Q417" i="1"/>
  <c r="Q427" i="1"/>
  <c r="Q428" i="1"/>
  <c r="Q429" i="1"/>
  <c r="Q430" i="1"/>
  <c r="Q433" i="1"/>
  <c r="Q442" i="1"/>
  <c r="Q443" i="1"/>
  <c r="Q444" i="1"/>
  <c r="Q445" i="1"/>
  <c r="Q446" i="1"/>
  <c r="Q448" i="1"/>
  <c r="Q449" i="1"/>
  <c r="Q454" i="1"/>
  <c r="Q455" i="1"/>
  <c r="Q458" i="1"/>
  <c r="Q459" i="1"/>
  <c r="Q460" i="1"/>
  <c r="Q461" i="1"/>
  <c r="Q462" i="1"/>
  <c r="Q464" i="1"/>
  <c r="Q465" i="1"/>
  <c r="Q475" i="1"/>
  <c r="Q476" i="1"/>
  <c r="Q477" i="1"/>
  <c r="Q478" i="1"/>
  <c r="Q479" i="1"/>
  <c r="Q480" i="1"/>
  <c r="Q481" i="1"/>
  <c r="Q490" i="1"/>
  <c r="Q491" i="1"/>
  <c r="Q492" i="1"/>
  <c r="Q493" i="1"/>
  <c r="Q494" i="1"/>
  <c r="Q497" i="1"/>
  <c r="Q502" i="1"/>
  <c r="Q506" i="1"/>
  <c r="Q507" i="1"/>
  <c r="Q508" i="1"/>
  <c r="Q509" i="1"/>
  <c r="Q510" i="1"/>
  <c r="Q512" i="1"/>
  <c r="Q513" i="1"/>
  <c r="Q518" i="1"/>
  <c r="Q523" i="1"/>
  <c r="Q524" i="1"/>
  <c r="Q525" i="1"/>
  <c r="Q526" i="1"/>
  <c r="Q528" i="1"/>
  <c r="Q529" i="1"/>
  <c r="Q534" i="1"/>
  <c r="Q539" i="1"/>
  <c r="Q540" i="1"/>
  <c r="Q541" i="1"/>
  <c r="Q542" i="1"/>
  <c r="Q545" i="1"/>
  <c r="Q554" i="1"/>
  <c r="Q555" i="1"/>
  <c r="Q556" i="1"/>
  <c r="Q557" i="1"/>
  <c r="Q558" i="1"/>
  <c r="Q561" i="1"/>
  <c r="Q570" i="1"/>
  <c r="Q571" i="1"/>
  <c r="Q572" i="1"/>
  <c r="Q573" i="1"/>
  <c r="Q574" i="1"/>
  <c r="Q576" i="1"/>
  <c r="Q577" i="1"/>
  <c r="Q582" i="1"/>
  <c r="Q583" i="1"/>
  <c r="Q586" i="1"/>
  <c r="Q587" i="1"/>
  <c r="Q588" i="1"/>
  <c r="Q589" i="1"/>
  <c r="Q590" i="1"/>
  <c r="Q592" i="1"/>
  <c r="Q593" i="1"/>
  <c r="P256" i="1"/>
  <c r="P257" i="1"/>
  <c r="P478" i="1"/>
  <c r="P479" i="1"/>
  <c r="P480"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N3" i="1"/>
  <c r="Q3" i="1" s="1"/>
  <c r="N4" i="1"/>
  <c r="Q4" i="1" s="1"/>
  <c r="N5" i="1"/>
  <c r="Q5" i="1" s="1"/>
  <c r="N6" i="1"/>
  <c r="Q6" i="1" s="1"/>
  <c r="N7" i="1"/>
  <c r="Q7" i="1" s="1"/>
  <c r="N8" i="1"/>
  <c r="Q8" i="1" s="1"/>
  <c r="N9" i="1"/>
  <c r="Q9" i="1" s="1"/>
  <c r="N10" i="1"/>
  <c r="Q10" i="1" s="1"/>
  <c r="N11" i="1"/>
  <c r="P11" i="1" s="1"/>
  <c r="N12" i="1"/>
  <c r="P12" i="1" s="1"/>
  <c r="N13" i="1"/>
  <c r="P13" i="1" s="1"/>
  <c r="N14" i="1"/>
  <c r="P14" i="1" s="1"/>
  <c r="N15" i="1"/>
  <c r="P15" i="1" s="1"/>
  <c r="N16" i="1"/>
  <c r="P16" i="1" s="1"/>
  <c r="N17" i="1"/>
  <c r="P17" i="1" s="1"/>
  <c r="N18" i="1"/>
  <c r="P18" i="1" s="1"/>
  <c r="N19" i="1"/>
  <c r="Q19" i="1" s="1"/>
  <c r="N20" i="1"/>
  <c r="Q20" i="1" s="1"/>
  <c r="N21" i="1"/>
  <c r="Q21" i="1" s="1"/>
  <c r="N22" i="1"/>
  <c r="Q22" i="1" s="1"/>
  <c r="N23" i="1"/>
  <c r="Q23" i="1" s="1"/>
  <c r="N24" i="1"/>
  <c r="Q24" i="1" s="1"/>
  <c r="N25" i="1"/>
  <c r="Q25" i="1" s="1"/>
  <c r="N26" i="1"/>
  <c r="N27" i="1"/>
  <c r="P27" i="1" s="1"/>
  <c r="N28" i="1"/>
  <c r="P28" i="1" s="1"/>
  <c r="N29" i="1"/>
  <c r="P29" i="1" s="1"/>
  <c r="N30" i="1"/>
  <c r="P30" i="1" s="1"/>
  <c r="N31" i="1"/>
  <c r="P31" i="1" s="1"/>
  <c r="N32" i="1"/>
  <c r="P32" i="1" s="1"/>
  <c r="N33" i="1"/>
  <c r="P33" i="1" s="1"/>
  <c r="N34" i="1"/>
  <c r="P34" i="1" s="1"/>
  <c r="N35" i="1"/>
  <c r="Q35" i="1" s="1"/>
  <c r="N36" i="1"/>
  <c r="Q36" i="1" s="1"/>
  <c r="N37" i="1"/>
  <c r="Q37" i="1" s="1"/>
  <c r="N38" i="1"/>
  <c r="Q38" i="1" s="1"/>
  <c r="N39" i="1"/>
  <c r="Q39" i="1" s="1"/>
  <c r="N40" i="1"/>
  <c r="Q40" i="1" s="1"/>
  <c r="N41" i="1"/>
  <c r="Q41" i="1" s="1"/>
  <c r="N42" i="1"/>
  <c r="N43" i="1"/>
  <c r="P43" i="1" s="1"/>
  <c r="N44" i="1"/>
  <c r="P44" i="1" s="1"/>
  <c r="N45" i="1"/>
  <c r="P45" i="1" s="1"/>
  <c r="N46" i="1"/>
  <c r="P46" i="1" s="1"/>
  <c r="N47" i="1"/>
  <c r="P47" i="1" s="1"/>
  <c r="N48" i="1"/>
  <c r="P48" i="1" s="1"/>
  <c r="N49" i="1"/>
  <c r="P49" i="1" s="1"/>
  <c r="N50" i="1"/>
  <c r="P50" i="1" s="1"/>
  <c r="N51" i="1"/>
  <c r="Q51" i="1" s="1"/>
  <c r="N52" i="1"/>
  <c r="Q52" i="1" s="1"/>
  <c r="N53" i="1"/>
  <c r="Q53" i="1" s="1"/>
  <c r="N54" i="1"/>
  <c r="Q54" i="1" s="1"/>
  <c r="N55" i="1"/>
  <c r="Q55" i="1" s="1"/>
  <c r="N56" i="1"/>
  <c r="Q56" i="1" s="1"/>
  <c r="N57" i="1"/>
  <c r="Q57" i="1" s="1"/>
  <c r="N58" i="1"/>
  <c r="N59" i="1"/>
  <c r="P59" i="1" s="1"/>
  <c r="N60" i="1"/>
  <c r="P60" i="1" s="1"/>
  <c r="N61" i="1"/>
  <c r="P61" i="1" s="1"/>
  <c r="N62" i="1"/>
  <c r="P62" i="1" s="1"/>
  <c r="N63" i="1"/>
  <c r="P63" i="1" s="1"/>
  <c r="N64" i="1"/>
  <c r="P64" i="1" s="1"/>
  <c r="N65" i="1"/>
  <c r="P65" i="1" s="1"/>
  <c r="N66" i="1"/>
  <c r="P66" i="1" s="1"/>
  <c r="N67" i="1"/>
  <c r="Q67" i="1" s="1"/>
  <c r="N68" i="1"/>
  <c r="Q68" i="1" s="1"/>
  <c r="N69" i="1"/>
  <c r="Q69" i="1" s="1"/>
  <c r="N70" i="1"/>
  <c r="Q70" i="1" s="1"/>
  <c r="N71" i="1"/>
  <c r="Q71" i="1" s="1"/>
  <c r="N72" i="1"/>
  <c r="Q72" i="1" s="1"/>
  <c r="N73" i="1"/>
  <c r="Q73" i="1" s="1"/>
  <c r="N74" i="1"/>
  <c r="Q74" i="1" s="1"/>
  <c r="N75" i="1"/>
  <c r="P75" i="1" s="1"/>
  <c r="N76" i="1"/>
  <c r="P76" i="1" s="1"/>
  <c r="N77" i="1"/>
  <c r="P77" i="1" s="1"/>
  <c r="N78" i="1"/>
  <c r="P78" i="1" s="1"/>
  <c r="N79" i="1"/>
  <c r="P79" i="1" s="1"/>
  <c r="N80" i="1"/>
  <c r="P80" i="1" s="1"/>
  <c r="N81" i="1"/>
  <c r="P81" i="1" s="1"/>
  <c r="N82" i="1"/>
  <c r="P82" i="1" s="1"/>
  <c r="N83" i="1"/>
  <c r="Q83" i="1" s="1"/>
  <c r="N84" i="1"/>
  <c r="Q84" i="1" s="1"/>
  <c r="N85" i="1"/>
  <c r="Q85" i="1" s="1"/>
  <c r="N86" i="1"/>
  <c r="Q86" i="1" s="1"/>
  <c r="N87" i="1"/>
  <c r="N88" i="1"/>
  <c r="Q88" i="1" s="1"/>
  <c r="N89" i="1"/>
  <c r="Q89" i="1" s="1"/>
  <c r="N90" i="1"/>
  <c r="N91" i="1"/>
  <c r="P91" i="1" s="1"/>
  <c r="N92" i="1"/>
  <c r="P92" i="1" s="1"/>
  <c r="N93" i="1"/>
  <c r="P93" i="1" s="1"/>
  <c r="N94" i="1"/>
  <c r="P94" i="1" s="1"/>
  <c r="N95" i="1"/>
  <c r="P95" i="1" s="1"/>
  <c r="N96" i="1"/>
  <c r="P96" i="1" s="1"/>
  <c r="N97" i="1"/>
  <c r="P97" i="1" s="1"/>
  <c r="N98" i="1"/>
  <c r="P98" i="1" s="1"/>
  <c r="N99" i="1"/>
  <c r="Q99" i="1" s="1"/>
  <c r="N100" i="1"/>
  <c r="Q100" i="1" s="1"/>
  <c r="N101" i="1"/>
  <c r="Q101" i="1" s="1"/>
  <c r="N102" i="1"/>
  <c r="Q102" i="1" s="1"/>
  <c r="N103" i="1"/>
  <c r="Q103" i="1" s="1"/>
  <c r="N104" i="1"/>
  <c r="Q104" i="1" s="1"/>
  <c r="N105" i="1"/>
  <c r="Q105" i="1" s="1"/>
  <c r="N106" i="1"/>
  <c r="Q106" i="1" s="1"/>
  <c r="N107" i="1"/>
  <c r="P107" i="1" s="1"/>
  <c r="N108" i="1"/>
  <c r="P108" i="1" s="1"/>
  <c r="N109" i="1"/>
  <c r="P109" i="1" s="1"/>
  <c r="N110" i="1"/>
  <c r="P110" i="1" s="1"/>
  <c r="N111" i="1"/>
  <c r="P111" i="1" s="1"/>
  <c r="N112" i="1"/>
  <c r="P112" i="1" s="1"/>
  <c r="N113" i="1"/>
  <c r="P113" i="1" s="1"/>
  <c r="N114" i="1"/>
  <c r="P114" i="1" s="1"/>
  <c r="N115" i="1"/>
  <c r="Q115" i="1" s="1"/>
  <c r="N116" i="1"/>
  <c r="Q116" i="1" s="1"/>
  <c r="N117" i="1"/>
  <c r="Q117" i="1" s="1"/>
  <c r="N118" i="1"/>
  <c r="Q118" i="1" s="1"/>
  <c r="N119" i="1"/>
  <c r="Q119" i="1" s="1"/>
  <c r="N120" i="1"/>
  <c r="Q120" i="1" s="1"/>
  <c r="N121" i="1"/>
  <c r="Q121" i="1" s="1"/>
  <c r="N122" i="1"/>
  <c r="Q122" i="1" s="1"/>
  <c r="N123" i="1"/>
  <c r="P123" i="1" s="1"/>
  <c r="N124" i="1"/>
  <c r="P124" i="1" s="1"/>
  <c r="N125" i="1"/>
  <c r="P125" i="1" s="1"/>
  <c r="N126" i="1"/>
  <c r="P126" i="1" s="1"/>
  <c r="N127" i="1"/>
  <c r="P127" i="1" s="1"/>
  <c r="N128" i="1"/>
  <c r="P128" i="1" s="1"/>
  <c r="N129" i="1"/>
  <c r="P129" i="1" s="1"/>
  <c r="N130" i="1"/>
  <c r="P130" i="1" s="1"/>
  <c r="N131" i="1"/>
  <c r="Q131" i="1" s="1"/>
  <c r="N132" i="1"/>
  <c r="Q132" i="1" s="1"/>
  <c r="N133" i="1"/>
  <c r="Q133" i="1" s="1"/>
  <c r="N134" i="1"/>
  <c r="Q134" i="1" s="1"/>
  <c r="N135" i="1"/>
  <c r="Q135" i="1" s="1"/>
  <c r="N136" i="1"/>
  <c r="Q136" i="1" s="1"/>
  <c r="N137" i="1"/>
  <c r="Q137" i="1" s="1"/>
  <c r="N138" i="1"/>
  <c r="N139" i="1"/>
  <c r="P139" i="1" s="1"/>
  <c r="N140" i="1"/>
  <c r="P140" i="1" s="1"/>
  <c r="N141" i="1"/>
  <c r="P141" i="1" s="1"/>
  <c r="N142" i="1"/>
  <c r="P142" i="1" s="1"/>
  <c r="N143" i="1"/>
  <c r="P143" i="1" s="1"/>
  <c r="N144" i="1"/>
  <c r="P144" i="1" s="1"/>
  <c r="N145" i="1"/>
  <c r="P145" i="1" s="1"/>
  <c r="N146" i="1"/>
  <c r="P146" i="1" s="1"/>
  <c r="N147" i="1"/>
  <c r="Q147" i="1" s="1"/>
  <c r="N148" i="1"/>
  <c r="Q148" i="1" s="1"/>
  <c r="N149" i="1"/>
  <c r="Q149" i="1" s="1"/>
  <c r="N150" i="1"/>
  <c r="Q150" i="1" s="1"/>
  <c r="N151" i="1"/>
  <c r="Q151" i="1" s="1"/>
  <c r="N152" i="1"/>
  <c r="Q152" i="1" s="1"/>
  <c r="N153" i="1"/>
  <c r="Q153" i="1" s="1"/>
  <c r="N154" i="1"/>
  <c r="N155" i="1"/>
  <c r="P155" i="1" s="1"/>
  <c r="N156" i="1"/>
  <c r="P156" i="1" s="1"/>
  <c r="N157" i="1"/>
  <c r="P157" i="1" s="1"/>
  <c r="N158" i="1"/>
  <c r="P158" i="1" s="1"/>
  <c r="N159" i="1"/>
  <c r="P159" i="1" s="1"/>
  <c r="N160" i="1"/>
  <c r="P160" i="1" s="1"/>
  <c r="N161" i="1"/>
  <c r="P161" i="1" s="1"/>
  <c r="N162" i="1"/>
  <c r="P162" i="1" s="1"/>
  <c r="N163" i="1"/>
  <c r="Q163" i="1" s="1"/>
  <c r="N164" i="1"/>
  <c r="Q164" i="1" s="1"/>
  <c r="N165" i="1"/>
  <c r="Q165" i="1" s="1"/>
  <c r="N166" i="1"/>
  <c r="Q166" i="1" s="1"/>
  <c r="N167" i="1"/>
  <c r="Q167" i="1" s="1"/>
  <c r="N168" i="1"/>
  <c r="Q168" i="1" s="1"/>
  <c r="N169" i="1"/>
  <c r="Q169" i="1" s="1"/>
  <c r="N170" i="1"/>
  <c r="Q170" i="1" s="1"/>
  <c r="N171" i="1"/>
  <c r="P171" i="1" s="1"/>
  <c r="N172" i="1"/>
  <c r="P172" i="1" s="1"/>
  <c r="N173" i="1"/>
  <c r="P173" i="1" s="1"/>
  <c r="N174" i="1"/>
  <c r="P174" i="1" s="1"/>
  <c r="N175" i="1"/>
  <c r="P175" i="1" s="1"/>
  <c r="N176" i="1"/>
  <c r="P176" i="1" s="1"/>
  <c r="N177" i="1"/>
  <c r="P177" i="1" s="1"/>
  <c r="N178" i="1"/>
  <c r="P178" i="1" s="1"/>
  <c r="N179" i="1"/>
  <c r="Q179" i="1" s="1"/>
  <c r="N180" i="1"/>
  <c r="Q180" i="1" s="1"/>
  <c r="N181" i="1"/>
  <c r="Q181" i="1" s="1"/>
  <c r="N182" i="1"/>
  <c r="Q182" i="1" s="1"/>
  <c r="N183" i="1"/>
  <c r="Q183" i="1" s="1"/>
  <c r="N184" i="1"/>
  <c r="Q184" i="1" s="1"/>
  <c r="N185" i="1"/>
  <c r="Q185" i="1" s="1"/>
  <c r="N186" i="1"/>
  <c r="N187" i="1"/>
  <c r="P187" i="1" s="1"/>
  <c r="N188" i="1"/>
  <c r="P188" i="1" s="1"/>
  <c r="N189" i="1"/>
  <c r="P189" i="1" s="1"/>
  <c r="N190" i="1"/>
  <c r="P190" i="1" s="1"/>
  <c r="N191" i="1"/>
  <c r="P191" i="1" s="1"/>
  <c r="N192" i="1"/>
  <c r="P192" i="1" s="1"/>
  <c r="N193" i="1"/>
  <c r="P193" i="1" s="1"/>
  <c r="N194" i="1"/>
  <c r="P194" i="1" s="1"/>
  <c r="N195" i="1"/>
  <c r="Q195" i="1" s="1"/>
  <c r="N196" i="1"/>
  <c r="Q196" i="1" s="1"/>
  <c r="N197" i="1"/>
  <c r="Q197" i="1" s="1"/>
  <c r="N198" i="1"/>
  <c r="Q198" i="1" s="1"/>
  <c r="N199" i="1"/>
  <c r="Q199" i="1" s="1"/>
  <c r="N200" i="1"/>
  <c r="Q200" i="1" s="1"/>
  <c r="N201" i="1"/>
  <c r="Q201" i="1" s="1"/>
  <c r="N202" i="1"/>
  <c r="N203" i="1"/>
  <c r="P203" i="1" s="1"/>
  <c r="N204" i="1"/>
  <c r="P204" i="1" s="1"/>
  <c r="N205" i="1"/>
  <c r="P205" i="1" s="1"/>
  <c r="N206" i="1"/>
  <c r="P206" i="1" s="1"/>
  <c r="N207" i="1"/>
  <c r="P207" i="1" s="1"/>
  <c r="N208" i="1"/>
  <c r="P208" i="1" s="1"/>
  <c r="N209" i="1"/>
  <c r="P209" i="1" s="1"/>
  <c r="N210" i="1"/>
  <c r="P210" i="1" s="1"/>
  <c r="N211" i="1"/>
  <c r="Q211" i="1" s="1"/>
  <c r="N212" i="1"/>
  <c r="Q212" i="1" s="1"/>
  <c r="N213" i="1"/>
  <c r="Q213" i="1" s="1"/>
  <c r="N214" i="1"/>
  <c r="Q214" i="1" s="1"/>
  <c r="N215" i="1"/>
  <c r="Q215" i="1" s="1"/>
  <c r="N216" i="1"/>
  <c r="Q216" i="1" s="1"/>
  <c r="N217" i="1"/>
  <c r="Q217" i="1" s="1"/>
  <c r="N218" i="1"/>
  <c r="P218" i="1" s="1"/>
  <c r="N219" i="1"/>
  <c r="P219" i="1" s="1"/>
  <c r="N220" i="1"/>
  <c r="P220" i="1" s="1"/>
  <c r="N221" i="1"/>
  <c r="P221" i="1" s="1"/>
  <c r="N222" i="1"/>
  <c r="P222" i="1" s="1"/>
  <c r="N223" i="1"/>
  <c r="P223" i="1" s="1"/>
  <c r="N224" i="1"/>
  <c r="P224" i="1" s="1"/>
  <c r="N225" i="1"/>
  <c r="P225" i="1" s="1"/>
  <c r="N226" i="1"/>
  <c r="P226" i="1" s="1"/>
  <c r="N227" i="1"/>
  <c r="Q227" i="1" s="1"/>
  <c r="N228" i="1"/>
  <c r="Q228" i="1" s="1"/>
  <c r="N229" i="1"/>
  <c r="Q229" i="1" s="1"/>
  <c r="N230" i="1"/>
  <c r="Q230" i="1" s="1"/>
  <c r="N231" i="1"/>
  <c r="N232" i="1"/>
  <c r="Q232" i="1" s="1"/>
  <c r="N233" i="1"/>
  <c r="Q233" i="1" s="1"/>
  <c r="N234" i="1"/>
  <c r="Q234" i="1" s="1"/>
  <c r="N235" i="1"/>
  <c r="P235" i="1" s="1"/>
  <c r="N236" i="1"/>
  <c r="P236" i="1" s="1"/>
  <c r="N237" i="1"/>
  <c r="P237" i="1" s="1"/>
  <c r="N238" i="1"/>
  <c r="P238" i="1" s="1"/>
  <c r="N239" i="1"/>
  <c r="P239" i="1" s="1"/>
  <c r="N240" i="1"/>
  <c r="P240" i="1" s="1"/>
  <c r="N241" i="1"/>
  <c r="P241" i="1" s="1"/>
  <c r="N242" i="1"/>
  <c r="P242" i="1" s="1"/>
  <c r="N243" i="1"/>
  <c r="Q243" i="1" s="1"/>
  <c r="N244" i="1"/>
  <c r="Q244" i="1" s="1"/>
  <c r="N245" i="1"/>
  <c r="Q245" i="1" s="1"/>
  <c r="N246" i="1"/>
  <c r="Q246" i="1" s="1"/>
  <c r="N247" i="1"/>
  <c r="Q247" i="1" s="1"/>
  <c r="N248" i="1"/>
  <c r="Q248" i="1" s="1"/>
  <c r="N249" i="1"/>
  <c r="Q249" i="1" s="1"/>
  <c r="N250" i="1"/>
  <c r="Q250" i="1" s="1"/>
  <c r="N251" i="1"/>
  <c r="P251" i="1" s="1"/>
  <c r="N252" i="1"/>
  <c r="P252" i="1" s="1"/>
  <c r="N253" i="1"/>
  <c r="P253" i="1" s="1"/>
  <c r="N254" i="1"/>
  <c r="P254" i="1" s="1"/>
  <c r="N255" i="1"/>
  <c r="P255" i="1" s="1"/>
  <c r="N256" i="1"/>
  <c r="N257" i="1"/>
  <c r="N258" i="1"/>
  <c r="P258" i="1" s="1"/>
  <c r="N259" i="1"/>
  <c r="Q259" i="1" s="1"/>
  <c r="N260" i="1"/>
  <c r="Q260" i="1" s="1"/>
  <c r="N261" i="1"/>
  <c r="Q261" i="1" s="1"/>
  <c r="N262" i="1"/>
  <c r="Q262" i="1" s="1"/>
  <c r="N263" i="1"/>
  <c r="Q263" i="1" s="1"/>
  <c r="N264" i="1"/>
  <c r="Q264" i="1" s="1"/>
  <c r="N265" i="1"/>
  <c r="Q265" i="1" s="1"/>
  <c r="N266" i="1"/>
  <c r="P266" i="1" s="1"/>
  <c r="N267" i="1"/>
  <c r="P267" i="1" s="1"/>
  <c r="N268" i="1"/>
  <c r="P268" i="1" s="1"/>
  <c r="N269" i="1"/>
  <c r="P269" i="1" s="1"/>
  <c r="N270" i="1"/>
  <c r="P270" i="1" s="1"/>
  <c r="N271" i="1"/>
  <c r="P271" i="1" s="1"/>
  <c r="N272" i="1"/>
  <c r="Q272" i="1" s="1"/>
  <c r="N273" i="1"/>
  <c r="P273" i="1" s="1"/>
  <c r="N274" i="1"/>
  <c r="P274" i="1" s="1"/>
  <c r="N275" i="1"/>
  <c r="Q275" i="1" s="1"/>
  <c r="N276" i="1"/>
  <c r="Q276" i="1" s="1"/>
  <c r="N277" i="1"/>
  <c r="Q277" i="1" s="1"/>
  <c r="N278" i="1"/>
  <c r="Q278" i="1" s="1"/>
  <c r="N279" i="1"/>
  <c r="Q279" i="1" s="1"/>
  <c r="N280" i="1"/>
  <c r="Q280" i="1" s="1"/>
  <c r="N281" i="1"/>
  <c r="Q281" i="1" s="1"/>
  <c r="N282" i="1"/>
  <c r="P282" i="1" s="1"/>
  <c r="N283" i="1"/>
  <c r="P283" i="1" s="1"/>
  <c r="N284" i="1"/>
  <c r="P284" i="1" s="1"/>
  <c r="N285" i="1"/>
  <c r="P285" i="1" s="1"/>
  <c r="N286" i="1"/>
  <c r="P286" i="1" s="1"/>
  <c r="N287" i="1"/>
  <c r="P287" i="1" s="1"/>
  <c r="N288" i="1"/>
  <c r="P288" i="1" s="1"/>
  <c r="N289" i="1"/>
  <c r="P289" i="1" s="1"/>
  <c r="N290" i="1"/>
  <c r="P290" i="1" s="1"/>
  <c r="N291" i="1"/>
  <c r="Q291" i="1" s="1"/>
  <c r="N292" i="1"/>
  <c r="Q292" i="1" s="1"/>
  <c r="N293" i="1"/>
  <c r="Q293" i="1" s="1"/>
  <c r="N294" i="1"/>
  <c r="Q294" i="1" s="1"/>
  <c r="N295" i="1"/>
  <c r="Q295" i="1" s="1"/>
  <c r="N296" i="1"/>
  <c r="Q296" i="1" s="1"/>
  <c r="N297" i="1"/>
  <c r="Q297" i="1" s="1"/>
  <c r="N298" i="1"/>
  <c r="P298" i="1" s="1"/>
  <c r="N299" i="1"/>
  <c r="P299" i="1" s="1"/>
  <c r="N300" i="1"/>
  <c r="P300" i="1" s="1"/>
  <c r="N301" i="1"/>
  <c r="P301" i="1" s="1"/>
  <c r="N302" i="1"/>
  <c r="P302" i="1" s="1"/>
  <c r="N303" i="1"/>
  <c r="P303" i="1" s="1"/>
  <c r="N304" i="1"/>
  <c r="P304" i="1" s="1"/>
  <c r="N305" i="1"/>
  <c r="P305" i="1" s="1"/>
  <c r="N306" i="1"/>
  <c r="P306" i="1" s="1"/>
  <c r="N307" i="1"/>
  <c r="Q307" i="1" s="1"/>
  <c r="N308" i="1"/>
  <c r="Q308" i="1" s="1"/>
  <c r="N309" i="1"/>
  <c r="Q309" i="1" s="1"/>
  <c r="N310" i="1"/>
  <c r="Q310" i="1" s="1"/>
  <c r="N311" i="1"/>
  <c r="Q311" i="1" s="1"/>
  <c r="N312" i="1"/>
  <c r="Q312" i="1" s="1"/>
  <c r="N313" i="1"/>
  <c r="Q313" i="1" s="1"/>
  <c r="N314" i="1"/>
  <c r="P314" i="1" s="1"/>
  <c r="N315" i="1"/>
  <c r="P315" i="1" s="1"/>
  <c r="N316" i="1"/>
  <c r="P316" i="1" s="1"/>
  <c r="N317" i="1"/>
  <c r="P317" i="1" s="1"/>
  <c r="N318" i="1"/>
  <c r="P318" i="1" s="1"/>
  <c r="N319" i="1"/>
  <c r="P319" i="1" s="1"/>
  <c r="N320" i="1"/>
  <c r="P320" i="1" s="1"/>
  <c r="N321" i="1"/>
  <c r="P321" i="1" s="1"/>
  <c r="N322" i="1"/>
  <c r="P322" i="1" s="1"/>
  <c r="N323" i="1"/>
  <c r="Q323" i="1" s="1"/>
  <c r="N324" i="1"/>
  <c r="Q324" i="1" s="1"/>
  <c r="N325" i="1"/>
  <c r="Q325" i="1" s="1"/>
  <c r="N326" i="1"/>
  <c r="Q326" i="1" s="1"/>
  <c r="N327" i="1"/>
  <c r="Q327" i="1" s="1"/>
  <c r="N328" i="1"/>
  <c r="Q328" i="1" s="1"/>
  <c r="N329" i="1"/>
  <c r="Q329" i="1" s="1"/>
  <c r="N330" i="1"/>
  <c r="P330" i="1" s="1"/>
  <c r="N331" i="1"/>
  <c r="P331" i="1" s="1"/>
  <c r="N332" i="1"/>
  <c r="P332" i="1" s="1"/>
  <c r="N333" i="1"/>
  <c r="P333" i="1" s="1"/>
  <c r="N334" i="1"/>
  <c r="P334" i="1" s="1"/>
  <c r="N335" i="1"/>
  <c r="P335" i="1" s="1"/>
  <c r="N336" i="1"/>
  <c r="P336" i="1" s="1"/>
  <c r="N337" i="1"/>
  <c r="P337" i="1" s="1"/>
  <c r="N338" i="1"/>
  <c r="P338" i="1" s="1"/>
  <c r="N339" i="1"/>
  <c r="Q339" i="1" s="1"/>
  <c r="N340" i="1"/>
  <c r="Q340" i="1" s="1"/>
  <c r="N341" i="1"/>
  <c r="Q341" i="1" s="1"/>
  <c r="N342" i="1"/>
  <c r="Q342" i="1" s="1"/>
  <c r="N343" i="1"/>
  <c r="N344" i="1"/>
  <c r="Q344" i="1" s="1"/>
  <c r="N345" i="1"/>
  <c r="Q345" i="1" s="1"/>
  <c r="N346" i="1"/>
  <c r="P346" i="1" s="1"/>
  <c r="N347" i="1"/>
  <c r="P347" i="1" s="1"/>
  <c r="N348" i="1"/>
  <c r="P348" i="1" s="1"/>
  <c r="N349" i="1"/>
  <c r="P349" i="1" s="1"/>
  <c r="N350" i="1"/>
  <c r="P350" i="1" s="1"/>
  <c r="N351" i="1"/>
  <c r="P351" i="1" s="1"/>
  <c r="N352" i="1"/>
  <c r="P352" i="1" s="1"/>
  <c r="N353" i="1"/>
  <c r="P353" i="1" s="1"/>
  <c r="N354" i="1"/>
  <c r="P354" i="1" s="1"/>
  <c r="N355" i="1"/>
  <c r="Q355" i="1" s="1"/>
  <c r="N356" i="1"/>
  <c r="Q356" i="1" s="1"/>
  <c r="N357" i="1"/>
  <c r="Q357" i="1" s="1"/>
  <c r="N358" i="1"/>
  <c r="Q358" i="1" s="1"/>
  <c r="N359" i="1"/>
  <c r="Q359" i="1" s="1"/>
  <c r="N360" i="1"/>
  <c r="Q360" i="1" s="1"/>
  <c r="N361" i="1"/>
  <c r="Q361" i="1" s="1"/>
  <c r="N362" i="1"/>
  <c r="P362" i="1" s="1"/>
  <c r="N363" i="1"/>
  <c r="P363" i="1" s="1"/>
  <c r="N364" i="1"/>
  <c r="P364" i="1" s="1"/>
  <c r="N365" i="1"/>
  <c r="P365" i="1" s="1"/>
  <c r="N366" i="1"/>
  <c r="P366" i="1" s="1"/>
  <c r="N367" i="1"/>
  <c r="P367" i="1" s="1"/>
  <c r="N368" i="1"/>
  <c r="P368" i="1" s="1"/>
  <c r="N369" i="1"/>
  <c r="P369" i="1" s="1"/>
  <c r="N370" i="1"/>
  <c r="P370" i="1" s="1"/>
  <c r="N371" i="1"/>
  <c r="Q371" i="1" s="1"/>
  <c r="N372" i="1"/>
  <c r="Q372" i="1" s="1"/>
  <c r="N373" i="1"/>
  <c r="Q373" i="1" s="1"/>
  <c r="N374" i="1"/>
  <c r="Q374" i="1" s="1"/>
  <c r="N375" i="1"/>
  <c r="Q375" i="1" s="1"/>
  <c r="N376" i="1"/>
  <c r="Q376" i="1" s="1"/>
  <c r="N377" i="1"/>
  <c r="Q377" i="1" s="1"/>
  <c r="N378" i="1"/>
  <c r="P378" i="1" s="1"/>
  <c r="N379" i="1"/>
  <c r="P379" i="1" s="1"/>
  <c r="N380" i="1"/>
  <c r="P380" i="1" s="1"/>
  <c r="N381" i="1"/>
  <c r="P381" i="1" s="1"/>
  <c r="N382" i="1"/>
  <c r="P382" i="1" s="1"/>
  <c r="N383" i="1"/>
  <c r="P383" i="1" s="1"/>
  <c r="N384" i="1"/>
  <c r="P384" i="1" s="1"/>
  <c r="N385" i="1"/>
  <c r="P385" i="1" s="1"/>
  <c r="N386" i="1"/>
  <c r="P386" i="1" s="1"/>
  <c r="N387" i="1"/>
  <c r="Q387" i="1" s="1"/>
  <c r="N388" i="1"/>
  <c r="Q388" i="1" s="1"/>
  <c r="N389" i="1"/>
  <c r="Q389" i="1" s="1"/>
  <c r="N390" i="1"/>
  <c r="Q390" i="1" s="1"/>
  <c r="N391" i="1"/>
  <c r="Q391" i="1" s="1"/>
  <c r="N392" i="1"/>
  <c r="Q392" i="1" s="1"/>
  <c r="N393" i="1"/>
  <c r="Q393" i="1" s="1"/>
  <c r="N394" i="1"/>
  <c r="P394" i="1" s="1"/>
  <c r="N395" i="1"/>
  <c r="P395" i="1" s="1"/>
  <c r="N396" i="1"/>
  <c r="P396" i="1" s="1"/>
  <c r="N397" i="1"/>
  <c r="P397" i="1" s="1"/>
  <c r="N398" i="1"/>
  <c r="P398" i="1" s="1"/>
  <c r="N399" i="1"/>
  <c r="P399" i="1" s="1"/>
  <c r="N400" i="1"/>
  <c r="P400" i="1" s="1"/>
  <c r="N401" i="1"/>
  <c r="P401" i="1" s="1"/>
  <c r="N402" i="1"/>
  <c r="P402" i="1" s="1"/>
  <c r="N403" i="1"/>
  <c r="Q403" i="1" s="1"/>
  <c r="N404" i="1"/>
  <c r="Q404" i="1" s="1"/>
  <c r="N405" i="1"/>
  <c r="Q405" i="1" s="1"/>
  <c r="N406" i="1"/>
  <c r="Q406" i="1" s="1"/>
  <c r="N407" i="1"/>
  <c r="Q407" i="1" s="1"/>
  <c r="N408" i="1"/>
  <c r="Q408" i="1" s="1"/>
  <c r="N409" i="1"/>
  <c r="Q409" i="1" s="1"/>
  <c r="N410" i="1"/>
  <c r="P410" i="1" s="1"/>
  <c r="N411" i="1"/>
  <c r="P411" i="1" s="1"/>
  <c r="N412" i="1"/>
  <c r="P412" i="1" s="1"/>
  <c r="N413" i="1"/>
  <c r="P413" i="1" s="1"/>
  <c r="N414" i="1"/>
  <c r="P414" i="1" s="1"/>
  <c r="N415" i="1"/>
  <c r="P415" i="1" s="1"/>
  <c r="N416" i="1"/>
  <c r="P416" i="1" s="1"/>
  <c r="N417" i="1"/>
  <c r="P417" i="1" s="1"/>
  <c r="N418" i="1"/>
  <c r="P418" i="1" s="1"/>
  <c r="N419" i="1"/>
  <c r="Q419" i="1" s="1"/>
  <c r="N420" i="1"/>
  <c r="Q420" i="1" s="1"/>
  <c r="N421" i="1"/>
  <c r="Q421" i="1" s="1"/>
  <c r="N422" i="1"/>
  <c r="Q422" i="1" s="1"/>
  <c r="N423" i="1"/>
  <c r="Q423" i="1" s="1"/>
  <c r="N424" i="1"/>
  <c r="Q424" i="1" s="1"/>
  <c r="N425" i="1"/>
  <c r="Q425" i="1" s="1"/>
  <c r="N426" i="1"/>
  <c r="P426" i="1" s="1"/>
  <c r="N427" i="1"/>
  <c r="P427" i="1" s="1"/>
  <c r="N428" i="1"/>
  <c r="P428" i="1" s="1"/>
  <c r="N429" i="1"/>
  <c r="P429" i="1" s="1"/>
  <c r="N430" i="1"/>
  <c r="P430" i="1" s="1"/>
  <c r="N431" i="1"/>
  <c r="P431" i="1" s="1"/>
  <c r="N432" i="1"/>
  <c r="P432" i="1" s="1"/>
  <c r="N433" i="1"/>
  <c r="P433" i="1" s="1"/>
  <c r="N434" i="1"/>
  <c r="P434" i="1" s="1"/>
  <c r="N435" i="1"/>
  <c r="Q435" i="1" s="1"/>
  <c r="N436" i="1"/>
  <c r="Q436" i="1" s="1"/>
  <c r="N437" i="1"/>
  <c r="Q437" i="1" s="1"/>
  <c r="N438" i="1"/>
  <c r="Q438" i="1" s="1"/>
  <c r="N439" i="1"/>
  <c r="Q439" i="1" s="1"/>
  <c r="N440" i="1"/>
  <c r="Q440" i="1" s="1"/>
  <c r="N441" i="1"/>
  <c r="Q441" i="1" s="1"/>
  <c r="N442" i="1"/>
  <c r="P442" i="1" s="1"/>
  <c r="N443" i="1"/>
  <c r="P443" i="1" s="1"/>
  <c r="N444" i="1"/>
  <c r="P444" i="1" s="1"/>
  <c r="N445" i="1"/>
  <c r="P445" i="1" s="1"/>
  <c r="N446" i="1"/>
  <c r="P446" i="1" s="1"/>
  <c r="N447" i="1"/>
  <c r="P447" i="1" s="1"/>
  <c r="N448" i="1"/>
  <c r="P448" i="1" s="1"/>
  <c r="N449" i="1"/>
  <c r="P449" i="1" s="1"/>
  <c r="N450" i="1"/>
  <c r="P450" i="1" s="1"/>
  <c r="N451" i="1"/>
  <c r="Q451" i="1" s="1"/>
  <c r="N452" i="1"/>
  <c r="Q452" i="1" s="1"/>
  <c r="N453" i="1"/>
  <c r="Q453" i="1" s="1"/>
  <c r="N454" i="1"/>
  <c r="N455" i="1"/>
  <c r="N456" i="1"/>
  <c r="Q456" i="1" s="1"/>
  <c r="N457" i="1"/>
  <c r="Q457" i="1" s="1"/>
  <c r="N458" i="1"/>
  <c r="P458" i="1" s="1"/>
  <c r="N459" i="1"/>
  <c r="P459" i="1" s="1"/>
  <c r="N460" i="1"/>
  <c r="P460" i="1" s="1"/>
  <c r="N461" i="1"/>
  <c r="P461" i="1" s="1"/>
  <c r="N462" i="1"/>
  <c r="P462" i="1" s="1"/>
  <c r="N463" i="1"/>
  <c r="P463" i="1" s="1"/>
  <c r="N464" i="1"/>
  <c r="P464" i="1" s="1"/>
  <c r="N465" i="1"/>
  <c r="P465" i="1" s="1"/>
  <c r="N466" i="1"/>
  <c r="P466" i="1" s="1"/>
  <c r="N467" i="1"/>
  <c r="Q467" i="1" s="1"/>
  <c r="N468" i="1"/>
  <c r="Q468" i="1" s="1"/>
  <c r="N469" i="1"/>
  <c r="Q469" i="1" s="1"/>
  <c r="N470" i="1"/>
  <c r="Q470" i="1" s="1"/>
  <c r="N471" i="1"/>
  <c r="Q471" i="1" s="1"/>
  <c r="N472" i="1"/>
  <c r="Q472" i="1" s="1"/>
  <c r="N473" i="1"/>
  <c r="Q473" i="1" s="1"/>
  <c r="N474" i="1"/>
  <c r="P474" i="1" s="1"/>
  <c r="N475" i="1"/>
  <c r="P475" i="1" s="1"/>
  <c r="N476" i="1"/>
  <c r="P476" i="1" s="1"/>
  <c r="N477" i="1"/>
  <c r="P477" i="1" s="1"/>
  <c r="N478" i="1"/>
  <c r="N479" i="1"/>
  <c r="N480" i="1"/>
  <c r="N481" i="1"/>
  <c r="P481" i="1" s="1"/>
  <c r="N482" i="1"/>
  <c r="P482" i="1" s="1"/>
  <c r="N483" i="1"/>
  <c r="Q483" i="1" s="1"/>
  <c r="N484" i="1"/>
  <c r="Q484" i="1" s="1"/>
  <c r="N485" i="1"/>
  <c r="Q485" i="1" s="1"/>
  <c r="N486" i="1"/>
  <c r="Q486" i="1" s="1"/>
  <c r="N487" i="1"/>
  <c r="Q487" i="1" s="1"/>
  <c r="N488" i="1"/>
  <c r="Q488" i="1" s="1"/>
  <c r="N489" i="1"/>
  <c r="Q489" i="1" s="1"/>
  <c r="N490" i="1"/>
  <c r="P490" i="1" s="1"/>
  <c r="N491" i="1"/>
  <c r="P491" i="1" s="1"/>
  <c r="N492" i="1"/>
  <c r="P492" i="1" s="1"/>
  <c r="N493" i="1"/>
  <c r="P493" i="1" s="1"/>
  <c r="N494" i="1"/>
  <c r="P494" i="1" s="1"/>
  <c r="N495" i="1"/>
  <c r="P495" i="1" s="1"/>
  <c r="N496" i="1"/>
  <c r="P496" i="1" s="1"/>
  <c r="N497" i="1"/>
  <c r="P497" i="1" s="1"/>
  <c r="N498" i="1"/>
  <c r="P498" i="1" s="1"/>
  <c r="N499" i="1"/>
  <c r="Q499" i="1" s="1"/>
  <c r="N500" i="1"/>
  <c r="Q500" i="1" s="1"/>
  <c r="N501" i="1"/>
  <c r="Q501" i="1" s="1"/>
  <c r="N502" i="1"/>
  <c r="N503" i="1"/>
  <c r="Q503" i="1" s="1"/>
  <c r="N504" i="1"/>
  <c r="Q504" i="1" s="1"/>
  <c r="N505" i="1"/>
  <c r="Q505" i="1" s="1"/>
  <c r="N506" i="1"/>
  <c r="P506" i="1" s="1"/>
  <c r="N507" i="1"/>
  <c r="P507" i="1" s="1"/>
  <c r="N508" i="1"/>
  <c r="P508" i="1" s="1"/>
  <c r="N509" i="1"/>
  <c r="P509" i="1" s="1"/>
  <c r="N510" i="1"/>
  <c r="P510" i="1" s="1"/>
  <c r="N511" i="1"/>
  <c r="P511" i="1" s="1"/>
  <c r="N512" i="1"/>
  <c r="P512" i="1" s="1"/>
  <c r="N513" i="1"/>
  <c r="P513" i="1" s="1"/>
  <c r="N514" i="1"/>
  <c r="P514" i="1" s="1"/>
  <c r="N515" i="1"/>
  <c r="Q515" i="1" s="1"/>
  <c r="N516" i="1"/>
  <c r="Q516" i="1" s="1"/>
  <c r="N517" i="1"/>
  <c r="Q517" i="1" s="1"/>
  <c r="N518" i="1"/>
  <c r="N519" i="1"/>
  <c r="Q519" i="1" s="1"/>
  <c r="N520" i="1"/>
  <c r="Q520" i="1" s="1"/>
  <c r="N521" i="1"/>
  <c r="Q521" i="1" s="1"/>
  <c r="N522" i="1"/>
  <c r="P522" i="1" s="1"/>
  <c r="N523" i="1"/>
  <c r="P523" i="1" s="1"/>
  <c r="N524" i="1"/>
  <c r="P524" i="1" s="1"/>
  <c r="N525" i="1"/>
  <c r="P525" i="1" s="1"/>
  <c r="N526" i="1"/>
  <c r="P526" i="1" s="1"/>
  <c r="N527" i="1"/>
  <c r="P527" i="1" s="1"/>
  <c r="N528" i="1"/>
  <c r="P528" i="1" s="1"/>
  <c r="N529" i="1"/>
  <c r="P529" i="1" s="1"/>
  <c r="N530" i="1"/>
  <c r="P530" i="1" s="1"/>
  <c r="N531" i="1"/>
  <c r="Q531" i="1" s="1"/>
  <c r="N532" i="1"/>
  <c r="Q532" i="1" s="1"/>
  <c r="N533" i="1"/>
  <c r="Q533" i="1" s="1"/>
  <c r="N534" i="1"/>
  <c r="N535" i="1"/>
  <c r="Q535" i="1" s="1"/>
  <c r="N536" i="1"/>
  <c r="Q536" i="1" s="1"/>
  <c r="N537" i="1"/>
  <c r="Q537" i="1" s="1"/>
  <c r="N538" i="1"/>
  <c r="P538" i="1" s="1"/>
  <c r="N539" i="1"/>
  <c r="P539" i="1" s="1"/>
  <c r="N540" i="1"/>
  <c r="P540" i="1" s="1"/>
  <c r="N541" i="1"/>
  <c r="P541" i="1" s="1"/>
  <c r="N542" i="1"/>
  <c r="P542" i="1" s="1"/>
  <c r="N543" i="1"/>
  <c r="P543" i="1" s="1"/>
  <c r="N544" i="1"/>
  <c r="P544" i="1" s="1"/>
  <c r="N545" i="1"/>
  <c r="P545" i="1" s="1"/>
  <c r="N546" i="1"/>
  <c r="P546" i="1" s="1"/>
  <c r="N547" i="1"/>
  <c r="Q547" i="1" s="1"/>
  <c r="N548" i="1"/>
  <c r="Q548" i="1" s="1"/>
  <c r="N549" i="1"/>
  <c r="Q549" i="1" s="1"/>
  <c r="N550" i="1"/>
  <c r="Q550" i="1" s="1"/>
  <c r="N551" i="1"/>
  <c r="Q551" i="1" s="1"/>
  <c r="N552" i="1"/>
  <c r="Q552" i="1" s="1"/>
  <c r="N553" i="1"/>
  <c r="Q553" i="1" s="1"/>
  <c r="N554" i="1"/>
  <c r="P554" i="1" s="1"/>
  <c r="N555" i="1"/>
  <c r="P555" i="1" s="1"/>
  <c r="N556" i="1"/>
  <c r="P556" i="1" s="1"/>
  <c r="N557" i="1"/>
  <c r="P557" i="1" s="1"/>
  <c r="N558" i="1"/>
  <c r="P558" i="1" s="1"/>
  <c r="N559" i="1"/>
  <c r="P559" i="1" s="1"/>
  <c r="N560" i="1"/>
  <c r="P560" i="1" s="1"/>
  <c r="N561" i="1"/>
  <c r="P561" i="1" s="1"/>
  <c r="N562" i="1"/>
  <c r="P562" i="1" s="1"/>
  <c r="N563" i="1"/>
  <c r="Q563" i="1" s="1"/>
  <c r="N564" i="1"/>
  <c r="Q564" i="1" s="1"/>
  <c r="N565" i="1"/>
  <c r="Q565" i="1" s="1"/>
  <c r="N566" i="1"/>
  <c r="Q566" i="1" s="1"/>
  <c r="N567" i="1"/>
  <c r="Q567" i="1" s="1"/>
  <c r="N568" i="1"/>
  <c r="Q568" i="1" s="1"/>
  <c r="N569" i="1"/>
  <c r="Q569" i="1" s="1"/>
  <c r="N570" i="1"/>
  <c r="P570" i="1" s="1"/>
  <c r="N571" i="1"/>
  <c r="P571" i="1" s="1"/>
  <c r="N572" i="1"/>
  <c r="P572" i="1" s="1"/>
  <c r="N573" i="1"/>
  <c r="P573" i="1" s="1"/>
  <c r="N574" i="1"/>
  <c r="P574" i="1" s="1"/>
  <c r="N575" i="1"/>
  <c r="P575" i="1" s="1"/>
  <c r="N576" i="1"/>
  <c r="P576" i="1" s="1"/>
  <c r="N577" i="1"/>
  <c r="P577" i="1" s="1"/>
  <c r="N578" i="1"/>
  <c r="P578" i="1" s="1"/>
  <c r="N579" i="1"/>
  <c r="Q579" i="1" s="1"/>
  <c r="N580" i="1"/>
  <c r="Q580" i="1" s="1"/>
  <c r="N581" i="1"/>
  <c r="Q581" i="1" s="1"/>
  <c r="N582" i="1"/>
  <c r="N583" i="1"/>
  <c r="N584" i="1"/>
  <c r="Q584" i="1" s="1"/>
  <c r="N585" i="1"/>
  <c r="Q585" i="1" s="1"/>
  <c r="N586" i="1"/>
  <c r="P586" i="1" s="1"/>
  <c r="N587" i="1"/>
  <c r="P587" i="1" s="1"/>
  <c r="N588" i="1"/>
  <c r="P588" i="1" s="1"/>
  <c r="N589" i="1"/>
  <c r="P589" i="1" s="1"/>
  <c r="N590" i="1"/>
  <c r="P590" i="1" s="1"/>
  <c r="N591" i="1"/>
  <c r="P591" i="1" s="1"/>
  <c r="N592" i="1"/>
  <c r="P592" i="1" s="1"/>
  <c r="N593" i="1"/>
  <c r="P593" i="1" s="1"/>
  <c r="N594" i="1"/>
  <c r="P594" i="1" s="1"/>
  <c r="N595" i="1"/>
  <c r="Q595" i="1" s="1"/>
  <c r="N596" i="1"/>
  <c r="Q596" i="1" s="1"/>
  <c r="N597" i="1"/>
  <c r="Q597" i="1" s="1"/>
  <c r="N598" i="1"/>
  <c r="Q598" i="1" s="1"/>
  <c r="N599" i="1"/>
  <c r="Q599" i="1" s="1"/>
  <c r="N600" i="1"/>
  <c r="Q600" i="1" s="1"/>
  <c r="N601" i="1"/>
  <c r="Q601" i="1" s="1"/>
  <c r="Q367" i="1" l="1"/>
  <c r="Q111" i="1"/>
  <c r="P272" i="1"/>
  <c r="Q527" i="1"/>
  <c r="Q426" i="1"/>
  <c r="Q336" i="1"/>
  <c r="Q223" i="1"/>
  <c r="Q80" i="1"/>
  <c r="Q335" i="1"/>
  <c r="Q191" i="1"/>
  <c r="Q496" i="1"/>
  <c r="Q474" i="1"/>
  <c r="Q416" i="1"/>
  <c r="Q303" i="1"/>
  <c r="Q160" i="1"/>
  <c r="Q47" i="1"/>
  <c r="Q495" i="1"/>
  <c r="Q415" i="1"/>
  <c r="Q362" i="1"/>
  <c r="Q159" i="1"/>
  <c r="Q544" i="1"/>
  <c r="Q522" i="1"/>
  <c r="Q384" i="1"/>
  <c r="Q271" i="1"/>
  <c r="Q218" i="1"/>
  <c r="Q128" i="1"/>
  <c r="Q16" i="1"/>
  <c r="Q79" i="1"/>
  <c r="Q575" i="1"/>
  <c r="Q447" i="1"/>
  <c r="Q543" i="1"/>
  <c r="Q383" i="1"/>
  <c r="Q330" i="1"/>
  <c r="Q240" i="1"/>
  <c r="Q127" i="1"/>
  <c r="Q15" i="1"/>
  <c r="Q239" i="1"/>
  <c r="Q591" i="1"/>
  <c r="Q463" i="1"/>
  <c r="Q95" i="1"/>
  <c r="Q207" i="1"/>
  <c r="Q511" i="1"/>
  <c r="Q432" i="1"/>
  <c r="Q319" i="1"/>
  <c r="Q266" i="1"/>
  <c r="Q63" i="1"/>
  <c r="Q560" i="1"/>
  <c r="Q538" i="1"/>
  <c r="Q431" i="1"/>
  <c r="Q378" i="1"/>
  <c r="Q288" i="1"/>
  <c r="Q175" i="1"/>
  <c r="Q32" i="1"/>
  <c r="Q351" i="1"/>
  <c r="Q559" i="1"/>
  <c r="Q400" i="1"/>
  <c r="Q287" i="1"/>
  <c r="Q144" i="1"/>
  <c r="Q31" i="1"/>
  <c r="Q594" i="1"/>
  <c r="Q578" i="1"/>
  <c r="Q562" i="1"/>
  <c r="Q546" i="1"/>
  <c r="Q530" i="1"/>
  <c r="Q514" i="1"/>
  <c r="Q498" i="1"/>
  <c r="Q482" i="1"/>
  <c r="Q466" i="1"/>
  <c r="Q450" i="1"/>
  <c r="Q434" i="1"/>
  <c r="Q418" i="1"/>
  <c r="Q402" i="1"/>
  <c r="Q386" i="1"/>
  <c r="Q370" i="1"/>
  <c r="Q354" i="1"/>
  <c r="Q338" i="1"/>
  <c r="Q322" i="1"/>
  <c r="Q306" i="1"/>
  <c r="Q290" i="1"/>
  <c r="Q274" i="1"/>
  <c r="Q258" i="1"/>
  <c r="Q242" i="1"/>
  <c r="Q226" i="1"/>
  <c r="Q210" i="1"/>
  <c r="Q194" i="1"/>
  <c r="Q178" i="1"/>
  <c r="Q162" i="1"/>
  <c r="Q146" i="1"/>
  <c r="Q130" i="1"/>
  <c r="Q114" i="1"/>
  <c r="Q98" i="1"/>
  <c r="Q82" i="1"/>
  <c r="Q66" i="1"/>
  <c r="Q50" i="1"/>
  <c r="Q34" i="1"/>
  <c r="Q18" i="1"/>
  <c r="Q2" i="1"/>
  <c r="P601" i="1"/>
  <c r="P553" i="1"/>
  <c r="P489" i="1"/>
  <c r="P425" i="1"/>
  <c r="P377" i="1"/>
  <c r="P329" i="1"/>
  <c r="P265" i="1"/>
  <c r="P201" i="1"/>
  <c r="P169" i="1"/>
  <c r="P121" i="1"/>
  <c r="P57" i="1"/>
  <c r="P584" i="1"/>
  <c r="P536" i="1"/>
  <c r="P488" i="1"/>
  <c r="P440" i="1"/>
  <c r="P408" i="1"/>
  <c r="P360" i="1"/>
  <c r="P312" i="1"/>
  <c r="P280" i="1"/>
  <c r="P232" i="1"/>
  <c r="P200" i="1"/>
  <c r="P152" i="1"/>
  <c r="P104" i="1"/>
  <c r="P24" i="1"/>
  <c r="P583" i="1"/>
  <c r="P519" i="1"/>
  <c r="P455" i="1"/>
  <c r="P407" i="1"/>
  <c r="P359" i="1"/>
  <c r="P311" i="1"/>
  <c r="P247" i="1"/>
  <c r="P215" i="1"/>
  <c r="P183" i="1"/>
  <c r="P151" i="1"/>
  <c r="P119" i="1"/>
  <c r="P87" i="1"/>
  <c r="P71" i="1"/>
  <c r="P39" i="1"/>
  <c r="P582" i="1"/>
  <c r="P550" i="1"/>
  <c r="P518" i="1"/>
  <c r="P470" i="1"/>
  <c r="P438" i="1"/>
  <c r="P390" i="1"/>
  <c r="P358" i="1"/>
  <c r="P326" i="1"/>
  <c r="P294" i="1"/>
  <c r="P262" i="1"/>
  <c r="P230" i="1"/>
  <c r="P182" i="1"/>
  <c r="P150" i="1"/>
  <c r="P102" i="1"/>
  <c r="P70" i="1"/>
  <c r="P6" i="1"/>
  <c r="P565" i="1"/>
  <c r="P297" i="1"/>
  <c r="P105" i="1"/>
  <c r="P600" i="1"/>
  <c r="P56" i="1"/>
  <c r="P567" i="1"/>
  <c r="P453" i="1"/>
  <c r="P421" i="1"/>
  <c r="P389" i="1"/>
  <c r="P357" i="1"/>
  <c r="P325" i="1"/>
  <c r="P293" i="1"/>
  <c r="P245" i="1"/>
  <c r="P213" i="1"/>
  <c r="P181" i="1"/>
  <c r="P149" i="1"/>
  <c r="P117" i="1"/>
  <c r="P85" i="1"/>
  <c r="P53" i="1"/>
  <c r="P21" i="1"/>
  <c r="P596" i="1"/>
  <c r="P564" i="1"/>
  <c r="P532" i="1"/>
  <c r="P500" i="1"/>
  <c r="P468" i="1"/>
  <c r="P452" i="1"/>
  <c r="P420" i="1"/>
  <c r="P388" i="1"/>
  <c r="P356" i="1"/>
  <c r="P324" i="1"/>
  <c r="P292" i="1"/>
  <c r="P260" i="1"/>
  <c r="P228" i="1"/>
  <c r="P196" i="1"/>
  <c r="P164" i="1"/>
  <c r="P132" i="1"/>
  <c r="P100" i="1"/>
  <c r="P68" i="1"/>
  <c r="P36" i="1"/>
  <c r="P4" i="1"/>
  <c r="P595" i="1"/>
  <c r="P563" i="1"/>
  <c r="P531" i="1"/>
  <c r="P499" i="1"/>
  <c r="P483" i="1"/>
  <c r="P451" i="1"/>
  <c r="P419" i="1"/>
  <c r="P387" i="1"/>
  <c r="P355" i="1"/>
  <c r="P323" i="1"/>
  <c r="P291" i="1"/>
  <c r="P259" i="1"/>
  <c r="P227" i="1"/>
  <c r="P195" i="1"/>
  <c r="P163" i="1"/>
  <c r="P131" i="1"/>
  <c r="P99" i="1"/>
  <c r="P67" i="1"/>
  <c r="P35" i="1"/>
  <c r="P3" i="1"/>
  <c r="P585" i="1"/>
  <c r="P537" i="1"/>
  <c r="P505" i="1"/>
  <c r="P457" i="1"/>
  <c r="P409" i="1"/>
  <c r="P393" i="1"/>
  <c r="P345" i="1"/>
  <c r="P281" i="1"/>
  <c r="P233" i="1"/>
  <c r="P185" i="1"/>
  <c r="P153" i="1"/>
  <c r="P89" i="1"/>
  <c r="P41" i="1"/>
  <c r="P9" i="1"/>
  <c r="P568" i="1"/>
  <c r="P520" i="1"/>
  <c r="P472" i="1"/>
  <c r="P424" i="1"/>
  <c r="P392" i="1"/>
  <c r="P328" i="1"/>
  <c r="P264" i="1"/>
  <c r="P216" i="1"/>
  <c r="P184" i="1"/>
  <c r="P136" i="1"/>
  <c r="P88" i="1"/>
  <c r="P40" i="1"/>
  <c r="P551" i="1"/>
  <c r="P503" i="1"/>
  <c r="P471" i="1"/>
  <c r="P423" i="1"/>
  <c r="P375" i="1"/>
  <c r="P343" i="1"/>
  <c r="P295" i="1"/>
  <c r="P263" i="1"/>
  <c r="P231" i="1"/>
  <c r="P167" i="1"/>
  <c r="P135" i="1"/>
  <c r="P103" i="1"/>
  <c r="P55" i="1"/>
  <c r="P23" i="1"/>
  <c r="P598" i="1"/>
  <c r="P566" i="1"/>
  <c r="P534" i="1"/>
  <c r="P502" i="1"/>
  <c r="P454" i="1"/>
  <c r="P422" i="1"/>
  <c r="P406" i="1"/>
  <c r="P374" i="1"/>
  <c r="P342" i="1"/>
  <c r="P310" i="1"/>
  <c r="P278" i="1"/>
  <c r="P246" i="1"/>
  <c r="P214" i="1"/>
  <c r="P198" i="1"/>
  <c r="P166" i="1"/>
  <c r="P134" i="1"/>
  <c r="P86" i="1"/>
  <c r="P54" i="1"/>
  <c r="P22" i="1"/>
  <c r="P597" i="1"/>
  <c r="P581" i="1"/>
  <c r="P549" i="1"/>
  <c r="P569" i="1"/>
  <c r="P521" i="1"/>
  <c r="P473" i="1"/>
  <c r="P441" i="1"/>
  <c r="P361" i="1"/>
  <c r="P313" i="1"/>
  <c r="P249" i="1"/>
  <c r="P217" i="1"/>
  <c r="P137" i="1"/>
  <c r="P73" i="1"/>
  <c r="P25" i="1"/>
  <c r="P552" i="1"/>
  <c r="P504" i="1"/>
  <c r="P456" i="1"/>
  <c r="P376" i="1"/>
  <c r="P344" i="1"/>
  <c r="P296" i="1"/>
  <c r="P248" i="1"/>
  <c r="P168" i="1"/>
  <c r="P120" i="1"/>
  <c r="P72" i="1"/>
  <c r="P8" i="1"/>
  <c r="P599" i="1"/>
  <c r="P535" i="1"/>
  <c r="P487" i="1"/>
  <c r="P439" i="1"/>
  <c r="P391" i="1"/>
  <c r="P327" i="1"/>
  <c r="P279" i="1"/>
  <c r="P199" i="1"/>
  <c r="P7" i="1"/>
  <c r="P486" i="1"/>
  <c r="P118" i="1"/>
  <c r="P38" i="1"/>
  <c r="P533" i="1"/>
  <c r="P517" i="1"/>
  <c r="P501" i="1"/>
  <c r="P485" i="1"/>
  <c r="P469" i="1"/>
  <c r="P437" i="1"/>
  <c r="P405" i="1"/>
  <c r="P373" i="1"/>
  <c r="P341" i="1"/>
  <c r="P309" i="1"/>
  <c r="P277" i="1"/>
  <c r="P261" i="1"/>
  <c r="P229" i="1"/>
  <c r="P197" i="1"/>
  <c r="P165" i="1"/>
  <c r="P133" i="1"/>
  <c r="P101" i="1"/>
  <c r="P69" i="1"/>
  <c r="P37" i="1"/>
  <c r="P5" i="1"/>
  <c r="P580" i="1"/>
  <c r="P548" i="1"/>
  <c r="P516" i="1"/>
  <c r="P484" i="1"/>
  <c r="P436" i="1"/>
  <c r="P404" i="1"/>
  <c r="P372" i="1"/>
  <c r="P340" i="1"/>
  <c r="P308" i="1"/>
  <c r="P276" i="1"/>
  <c r="P244" i="1"/>
  <c r="P212" i="1"/>
  <c r="P180" i="1"/>
  <c r="P148" i="1"/>
  <c r="P116" i="1"/>
  <c r="P84" i="1"/>
  <c r="P52" i="1"/>
  <c r="P20" i="1"/>
  <c r="P579" i="1"/>
  <c r="P547" i="1"/>
  <c r="P515" i="1"/>
  <c r="P467" i="1"/>
  <c r="P435" i="1"/>
  <c r="P403" i="1"/>
  <c r="P371" i="1"/>
  <c r="P339" i="1"/>
  <c r="P307" i="1"/>
  <c r="P275" i="1"/>
  <c r="P243" i="1"/>
  <c r="P211" i="1"/>
  <c r="P179" i="1"/>
  <c r="P147" i="1"/>
  <c r="P115" i="1"/>
  <c r="P83" i="1"/>
  <c r="P51" i="1"/>
  <c r="P19" i="1"/>
  <c r="P250" i="1"/>
  <c r="P234" i="1"/>
  <c r="P202" i="1"/>
  <c r="P186" i="1"/>
  <c r="P170" i="1"/>
  <c r="P154" i="1"/>
  <c r="P138" i="1"/>
  <c r="P122" i="1"/>
  <c r="P106" i="1"/>
  <c r="P90" i="1"/>
  <c r="P74" i="1"/>
  <c r="P58" i="1"/>
  <c r="P42" i="1"/>
  <c r="P26" i="1"/>
  <c r="P1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123355-67F7-46A7-9667-3878E8BE6F1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D31BA8B-5778-48E4-8B07-E6A663116D9D}" name="WorksheetConnection_Data!$A:$Q" type="102" refreshedVersion="8" minRefreshableVersion="5">
    <extLst>
      <ext xmlns:x15="http://schemas.microsoft.com/office/spreadsheetml/2010/11/main" uri="{DE250136-89BD-433C-8126-D09CA5730AF9}">
        <x15:connection id="Range" autoDelete="1">
          <x15:rangePr sourceName="_xlcn.WorksheetConnection_DataAQ1"/>
        </x15:connection>
      </ext>
    </extLst>
  </connection>
  <connection id="3" xr16:uid="{DFFD07FB-9347-43D3-9EE8-3051DE564C6D}" name="WorksheetConnection_Student_Marks_600_Rows.xlsx!Table1" type="102" refreshedVersion="8" minRefreshableVersion="5">
    <extLst>
      <ext xmlns:x15="http://schemas.microsoft.com/office/spreadsheetml/2010/11/main" uri="{DE250136-89BD-433C-8126-D09CA5730AF9}">
        <x15:connection id="Table1" autoDelete="1">
          <x15:rangePr sourceName="_xlcn.WorksheetConnection_Student_Marks_600_Rows.xlsxTable11"/>
        </x15:connection>
      </ext>
    </extLst>
  </connection>
  <connection id="4" xr16:uid="{C9B6575C-0C60-4B59-9DD3-E96EE2427AAC}" name="WorksheetConnection_Student_Marks_600_Rows.xlsx!Table1[[Study_Hours]:[FeedBack]]" type="102" refreshedVersion="8" minRefreshableVersion="5">
    <extLst>
      <ext xmlns:x15="http://schemas.microsoft.com/office/spreadsheetml/2010/11/main" uri="{DE250136-89BD-433C-8126-D09CA5730AF9}">
        <x15:connection id="Table1  Study_Hours   FeedBack" autoDelete="1">
          <x15:rangePr sourceName="_xlcn.WorksheetConnection_Student_Marks_600_Rows.xlsxTable1Study_HoursFeedBack1"/>
        </x15:connection>
      </ext>
    </extLst>
  </connection>
</connections>
</file>

<file path=xl/sharedStrings.xml><?xml version="1.0" encoding="utf-8"?>
<sst xmlns="http://schemas.openxmlformats.org/spreadsheetml/2006/main" count="3057" uniqueCount="862">
  <si>
    <t>Student_ID</t>
  </si>
  <si>
    <t>Name</t>
  </si>
  <si>
    <t>Gender</t>
  </si>
  <si>
    <t>Age</t>
  </si>
  <si>
    <t>Department</t>
  </si>
  <si>
    <t>City</t>
  </si>
  <si>
    <t>Attendance_Percentage</t>
  </si>
  <si>
    <t>Study_Hours</t>
  </si>
  <si>
    <t>Math_Marks</t>
  </si>
  <si>
    <t>Science_Marks</t>
  </si>
  <si>
    <t>English_Marks</t>
  </si>
  <si>
    <t>Computer_Marks</t>
  </si>
  <si>
    <t>Social_Marks</t>
  </si>
  <si>
    <t>STU0001</t>
  </si>
  <si>
    <t>STU0002</t>
  </si>
  <si>
    <t>STU0003</t>
  </si>
  <si>
    <t>STU0004</t>
  </si>
  <si>
    <t>STU0005</t>
  </si>
  <si>
    <t>STU0006</t>
  </si>
  <si>
    <t>STU0007</t>
  </si>
  <si>
    <t>STU0008</t>
  </si>
  <si>
    <t>STU0009</t>
  </si>
  <si>
    <t>STU0010</t>
  </si>
  <si>
    <t>STU0011</t>
  </si>
  <si>
    <t>STU0012</t>
  </si>
  <si>
    <t>STU0013</t>
  </si>
  <si>
    <t>STU0014</t>
  </si>
  <si>
    <t>STU0015</t>
  </si>
  <si>
    <t>STU0016</t>
  </si>
  <si>
    <t>STU0017</t>
  </si>
  <si>
    <t>STU0018</t>
  </si>
  <si>
    <t>STU0019</t>
  </si>
  <si>
    <t>STU0020</t>
  </si>
  <si>
    <t>STU0021</t>
  </si>
  <si>
    <t>STU0022</t>
  </si>
  <si>
    <t>STU0023</t>
  </si>
  <si>
    <t>STU0024</t>
  </si>
  <si>
    <t>STU0025</t>
  </si>
  <si>
    <t>STU0026</t>
  </si>
  <si>
    <t>STU0027</t>
  </si>
  <si>
    <t>STU0028</t>
  </si>
  <si>
    <t>STU0029</t>
  </si>
  <si>
    <t>STU0030</t>
  </si>
  <si>
    <t>STU0031</t>
  </si>
  <si>
    <t>STU0032</t>
  </si>
  <si>
    <t>STU0033</t>
  </si>
  <si>
    <t>STU0034</t>
  </si>
  <si>
    <t>STU0035</t>
  </si>
  <si>
    <t>STU0036</t>
  </si>
  <si>
    <t>STU0037</t>
  </si>
  <si>
    <t>STU0038</t>
  </si>
  <si>
    <t>STU0039</t>
  </si>
  <si>
    <t>STU0040</t>
  </si>
  <si>
    <t>STU0041</t>
  </si>
  <si>
    <t>STU0042</t>
  </si>
  <si>
    <t>STU0043</t>
  </si>
  <si>
    <t>STU0044</t>
  </si>
  <si>
    <t>STU0045</t>
  </si>
  <si>
    <t>STU0046</t>
  </si>
  <si>
    <t>STU0047</t>
  </si>
  <si>
    <t>STU0048</t>
  </si>
  <si>
    <t>STU0049</t>
  </si>
  <si>
    <t>STU0050</t>
  </si>
  <si>
    <t>STU0051</t>
  </si>
  <si>
    <t>STU0052</t>
  </si>
  <si>
    <t>STU0053</t>
  </si>
  <si>
    <t>STU0054</t>
  </si>
  <si>
    <t>STU0055</t>
  </si>
  <si>
    <t>STU0056</t>
  </si>
  <si>
    <t>STU0057</t>
  </si>
  <si>
    <t>STU0058</t>
  </si>
  <si>
    <t>STU0059</t>
  </si>
  <si>
    <t>STU0060</t>
  </si>
  <si>
    <t>STU0061</t>
  </si>
  <si>
    <t>STU0062</t>
  </si>
  <si>
    <t>STU0063</t>
  </si>
  <si>
    <t>STU0064</t>
  </si>
  <si>
    <t>STU0065</t>
  </si>
  <si>
    <t>STU0066</t>
  </si>
  <si>
    <t>STU0067</t>
  </si>
  <si>
    <t>STU0068</t>
  </si>
  <si>
    <t>STU0069</t>
  </si>
  <si>
    <t>STU0070</t>
  </si>
  <si>
    <t>STU0071</t>
  </si>
  <si>
    <t>STU0072</t>
  </si>
  <si>
    <t>STU0073</t>
  </si>
  <si>
    <t>STU0074</t>
  </si>
  <si>
    <t>STU0075</t>
  </si>
  <si>
    <t>STU0076</t>
  </si>
  <si>
    <t>STU0077</t>
  </si>
  <si>
    <t>STU0078</t>
  </si>
  <si>
    <t>STU0079</t>
  </si>
  <si>
    <t>STU0080</t>
  </si>
  <si>
    <t>STU0081</t>
  </si>
  <si>
    <t>STU0082</t>
  </si>
  <si>
    <t>STU0083</t>
  </si>
  <si>
    <t>STU0084</t>
  </si>
  <si>
    <t>STU0085</t>
  </si>
  <si>
    <t>STU0086</t>
  </si>
  <si>
    <t>STU0087</t>
  </si>
  <si>
    <t>STU0088</t>
  </si>
  <si>
    <t>STU0089</t>
  </si>
  <si>
    <t>STU0090</t>
  </si>
  <si>
    <t>STU0091</t>
  </si>
  <si>
    <t>STU0092</t>
  </si>
  <si>
    <t>STU0093</t>
  </si>
  <si>
    <t>STU0094</t>
  </si>
  <si>
    <t>STU0095</t>
  </si>
  <si>
    <t>STU0096</t>
  </si>
  <si>
    <t>STU0097</t>
  </si>
  <si>
    <t>STU0098</t>
  </si>
  <si>
    <t>STU0099</t>
  </si>
  <si>
    <t>STU0100</t>
  </si>
  <si>
    <t>STU0101</t>
  </si>
  <si>
    <t>STU0102</t>
  </si>
  <si>
    <t>STU0103</t>
  </si>
  <si>
    <t>STU0104</t>
  </si>
  <si>
    <t>STU0105</t>
  </si>
  <si>
    <t>STU0106</t>
  </si>
  <si>
    <t>STU0107</t>
  </si>
  <si>
    <t>STU0108</t>
  </si>
  <si>
    <t>STU0109</t>
  </si>
  <si>
    <t>STU0110</t>
  </si>
  <si>
    <t>STU0111</t>
  </si>
  <si>
    <t>STU0112</t>
  </si>
  <si>
    <t>STU0113</t>
  </si>
  <si>
    <t>STU0114</t>
  </si>
  <si>
    <t>STU0115</t>
  </si>
  <si>
    <t>STU0116</t>
  </si>
  <si>
    <t>STU0117</t>
  </si>
  <si>
    <t>STU0118</t>
  </si>
  <si>
    <t>STU0119</t>
  </si>
  <si>
    <t>STU0120</t>
  </si>
  <si>
    <t>STU0121</t>
  </si>
  <si>
    <t>STU0122</t>
  </si>
  <si>
    <t>STU0123</t>
  </si>
  <si>
    <t>STU0124</t>
  </si>
  <si>
    <t>STU0125</t>
  </si>
  <si>
    <t>STU0126</t>
  </si>
  <si>
    <t>STU0127</t>
  </si>
  <si>
    <t>STU0128</t>
  </si>
  <si>
    <t>STU0129</t>
  </si>
  <si>
    <t>STU0130</t>
  </si>
  <si>
    <t>STU0131</t>
  </si>
  <si>
    <t>STU0132</t>
  </si>
  <si>
    <t>STU0133</t>
  </si>
  <si>
    <t>STU0134</t>
  </si>
  <si>
    <t>STU0135</t>
  </si>
  <si>
    <t>STU0136</t>
  </si>
  <si>
    <t>STU0137</t>
  </si>
  <si>
    <t>STU0138</t>
  </si>
  <si>
    <t>STU0139</t>
  </si>
  <si>
    <t>STU0140</t>
  </si>
  <si>
    <t>STU0141</t>
  </si>
  <si>
    <t>STU0142</t>
  </si>
  <si>
    <t>STU0143</t>
  </si>
  <si>
    <t>STU0144</t>
  </si>
  <si>
    <t>STU0145</t>
  </si>
  <si>
    <t>STU0146</t>
  </si>
  <si>
    <t>STU0147</t>
  </si>
  <si>
    <t>STU0148</t>
  </si>
  <si>
    <t>STU0149</t>
  </si>
  <si>
    <t>STU0150</t>
  </si>
  <si>
    <t>STU0151</t>
  </si>
  <si>
    <t>STU0152</t>
  </si>
  <si>
    <t>STU0153</t>
  </si>
  <si>
    <t>STU0154</t>
  </si>
  <si>
    <t>STU0155</t>
  </si>
  <si>
    <t>STU0156</t>
  </si>
  <si>
    <t>STU0157</t>
  </si>
  <si>
    <t>STU0158</t>
  </si>
  <si>
    <t>STU0159</t>
  </si>
  <si>
    <t>STU0160</t>
  </si>
  <si>
    <t>STU0161</t>
  </si>
  <si>
    <t>STU0162</t>
  </si>
  <si>
    <t>STU0163</t>
  </si>
  <si>
    <t>STU0164</t>
  </si>
  <si>
    <t>STU0165</t>
  </si>
  <si>
    <t>STU0166</t>
  </si>
  <si>
    <t>STU0167</t>
  </si>
  <si>
    <t>STU0168</t>
  </si>
  <si>
    <t>STU0169</t>
  </si>
  <si>
    <t>STU0170</t>
  </si>
  <si>
    <t>STU0171</t>
  </si>
  <si>
    <t>STU0172</t>
  </si>
  <si>
    <t>STU0173</t>
  </si>
  <si>
    <t>STU0174</t>
  </si>
  <si>
    <t>STU0175</t>
  </si>
  <si>
    <t>STU0176</t>
  </si>
  <si>
    <t>STU0177</t>
  </si>
  <si>
    <t>STU0178</t>
  </si>
  <si>
    <t>STU0179</t>
  </si>
  <si>
    <t>STU0180</t>
  </si>
  <si>
    <t>STU0181</t>
  </si>
  <si>
    <t>STU0182</t>
  </si>
  <si>
    <t>STU0183</t>
  </si>
  <si>
    <t>STU0184</t>
  </si>
  <si>
    <t>STU0185</t>
  </si>
  <si>
    <t>STU0186</t>
  </si>
  <si>
    <t>STU0187</t>
  </si>
  <si>
    <t>STU0188</t>
  </si>
  <si>
    <t>STU0189</t>
  </si>
  <si>
    <t>STU0190</t>
  </si>
  <si>
    <t>STU0191</t>
  </si>
  <si>
    <t>STU0192</t>
  </si>
  <si>
    <t>STU0193</t>
  </si>
  <si>
    <t>STU0194</t>
  </si>
  <si>
    <t>STU0195</t>
  </si>
  <si>
    <t>STU0196</t>
  </si>
  <si>
    <t>STU0197</t>
  </si>
  <si>
    <t>STU0198</t>
  </si>
  <si>
    <t>STU0199</t>
  </si>
  <si>
    <t>STU0200</t>
  </si>
  <si>
    <t>STU0201</t>
  </si>
  <si>
    <t>STU0202</t>
  </si>
  <si>
    <t>STU0203</t>
  </si>
  <si>
    <t>STU0204</t>
  </si>
  <si>
    <t>STU0205</t>
  </si>
  <si>
    <t>STU0206</t>
  </si>
  <si>
    <t>STU0207</t>
  </si>
  <si>
    <t>STU0208</t>
  </si>
  <si>
    <t>STU0209</t>
  </si>
  <si>
    <t>STU0210</t>
  </si>
  <si>
    <t>STU0211</t>
  </si>
  <si>
    <t>STU0212</t>
  </si>
  <si>
    <t>STU0213</t>
  </si>
  <si>
    <t>STU0214</t>
  </si>
  <si>
    <t>STU0215</t>
  </si>
  <si>
    <t>STU0216</t>
  </si>
  <si>
    <t>STU0217</t>
  </si>
  <si>
    <t>STU0218</t>
  </si>
  <si>
    <t>STU0219</t>
  </si>
  <si>
    <t>STU0220</t>
  </si>
  <si>
    <t>STU0221</t>
  </si>
  <si>
    <t>STU0222</t>
  </si>
  <si>
    <t>STU0223</t>
  </si>
  <si>
    <t>STU0224</t>
  </si>
  <si>
    <t>STU0225</t>
  </si>
  <si>
    <t>STU0226</t>
  </si>
  <si>
    <t>STU0227</t>
  </si>
  <si>
    <t>STU0228</t>
  </si>
  <si>
    <t>STU0229</t>
  </si>
  <si>
    <t>STU0230</t>
  </si>
  <si>
    <t>STU0231</t>
  </si>
  <si>
    <t>STU0232</t>
  </si>
  <si>
    <t>STU0233</t>
  </si>
  <si>
    <t>STU0234</t>
  </si>
  <si>
    <t>STU0235</t>
  </si>
  <si>
    <t>STU0236</t>
  </si>
  <si>
    <t>STU0237</t>
  </si>
  <si>
    <t>STU0238</t>
  </si>
  <si>
    <t>STU0239</t>
  </si>
  <si>
    <t>STU0240</t>
  </si>
  <si>
    <t>STU0241</t>
  </si>
  <si>
    <t>STU0242</t>
  </si>
  <si>
    <t>STU0243</t>
  </si>
  <si>
    <t>STU0244</t>
  </si>
  <si>
    <t>STU0245</t>
  </si>
  <si>
    <t>STU0246</t>
  </si>
  <si>
    <t>STU0247</t>
  </si>
  <si>
    <t>STU0248</t>
  </si>
  <si>
    <t>STU0249</t>
  </si>
  <si>
    <t>STU0250</t>
  </si>
  <si>
    <t>STU0251</t>
  </si>
  <si>
    <t>STU0252</t>
  </si>
  <si>
    <t>STU0253</t>
  </si>
  <si>
    <t>STU0254</t>
  </si>
  <si>
    <t>STU0255</t>
  </si>
  <si>
    <t>STU0256</t>
  </si>
  <si>
    <t>STU0257</t>
  </si>
  <si>
    <t>STU0258</t>
  </si>
  <si>
    <t>STU0259</t>
  </si>
  <si>
    <t>STU0260</t>
  </si>
  <si>
    <t>STU0261</t>
  </si>
  <si>
    <t>STU0262</t>
  </si>
  <si>
    <t>STU0263</t>
  </si>
  <si>
    <t>STU0264</t>
  </si>
  <si>
    <t>STU0265</t>
  </si>
  <si>
    <t>STU0266</t>
  </si>
  <si>
    <t>STU0267</t>
  </si>
  <si>
    <t>STU0268</t>
  </si>
  <si>
    <t>STU0269</t>
  </si>
  <si>
    <t>STU0270</t>
  </si>
  <si>
    <t>STU0271</t>
  </si>
  <si>
    <t>STU0272</t>
  </si>
  <si>
    <t>STU0273</t>
  </si>
  <si>
    <t>STU0274</t>
  </si>
  <si>
    <t>STU0275</t>
  </si>
  <si>
    <t>STU0276</t>
  </si>
  <si>
    <t>STU0277</t>
  </si>
  <si>
    <t>STU0278</t>
  </si>
  <si>
    <t>STU0279</t>
  </si>
  <si>
    <t>STU0280</t>
  </si>
  <si>
    <t>STU0281</t>
  </si>
  <si>
    <t>STU0282</t>
  </si>
  <si>
    <t>STU0283</t>
  </si>
  <si>
    <t>STU0284</t>
  </si>
  <si>
    <t>STU0285</t>
  </si>
  <si>
    <t>STU0286</t>
  </si>
  <si>
    <t>STU0287</t>
  </si>
  <si>
    <t>STU0288</t>
  </si>
  <si>
    <t>STU0289</t>
  </si>
  <si>
    <t>STU0290</t>
  </si>
  <si>
    <t>STU0291</t>
  </si>
  <si>
    <t>STU0292</t>
  </si>
  <si>
    <t>STU0293</t>
  </si>
  <si>
    <t>STU0294</t>
  </si>
  <si>
    <t>STU0295</t>
  </si>
  <si>
    <t>STU0296</t>
  </si>
  <si>
    <t>STU0297</t>
  </si>
  <si>
    <t>STU0298</t>
  </si>
  <si>
    <t>STU0299</t>
  </si>
  <si>
    <t>STU0300</t>
  </si>
  <si>
    <t>STU0301</t>
  </si>
  <si>
    <t>STU0302</t>
  </si>
  <si>
    <t>STU0303</t>
  </si>
  <si>
    <t>STU0304</t>
  </si>
  <si>
    <t>STU0305</t>
  </si>
  <si>
    <t>STU0306</t>
  </si>
  <si>
    <t>STU0307</t>
  </si>
  <si>
    <t>STU0308</t>
  </si>
  <si>
    <t>STU0309</t>
  </si>
  <si>
    <t>STU0310</t>
  </si>
  <si>
    <t>STU0311</t>
  </si>
  <si>
    <t>STU0312</t>
  </si>
  <si>
    <t>STU0313</t>
  </si>
  <si>
    <t>STU0314</t>
  </si>
  <si>
    <t>STU0315</t>
  </si>
  <si>
    <t>STU0316</t>
  </si>
  <si>
    <t>STU0317</t>
  </si>
  <si>
    <t>STU0318</t>
  </si>
  <si>
    <t>STU0319</t>
  </si>
  <si>
    <t>STU0320</t>
  </si>
  <si>
    <t>STU0321</t>
  </si>
  <si>
    <t>STU0322</t>
  </si>
  <si>
    <t>STU0323</t>
  </si>
  <si>
    <t>STU0324</t>
  </si>
  <si>
    <t>STU0325</t>
  </si>
  <si>
    <t>STU0326</t>
  </si>
  <si>
    <t>STU0327</t>
  </si>
  <si>
    <t>STU0328</t>
  </si>
  <si>
    <t>STU0329</t>
  </si>
  <si>
    <t>STU0330</t>
  </si>
  <si>
    <t>STU0331</t>
  </si>
  <si>
    <t>STU0332</t>
  </si>
  <si>
    <t>STU0333</t>
  </si>
  <si>
    <t>STU0334</t>
  </si>
  <si>
    <t>STU0335</t>
  </si>
  <si>
    <t>STU0336</t>
  </si>
  <si>
    <t>STU0337</t>
  </si>
  <si>
    <t>STU0338</t>
  </si>
  <si>
    <t>STU0339</t>
  </si>
  <si>
    <t>STU0340</t>
  </si>
  <si>
    <t>STU0341</t>
  </si>
  <si>
    <t>STU0342</t>
  </si>
  <si>
    <t>STU0343</t>
  </si>
  <si>
    <t>STU0344</t>
  </si>
  <si>
    <t>STU0345</t>
  </si>
  <si>
    <t>STU0346</t>
  </si>
  <si>
    <t>STU0347</t>
  </si>
  <si>
    <t>STU0348</t>
  </si>
  <si>
    <t>STU0349</t>
  </si>
  <si>
    <t>STU0350</t>
  </si>
  <si>
    <t>STU0351</t>
  </si>
  <si>
    <t>STU0352</t>
  </si>
  <si>
    <t>STU0353</t>
  </si>
  <si>
    <t>STU0354</t>
  </si>
  <si>
    <t>STU0355</t>
  </si>
  <si>
    <t>STU0356</t>
  </si>
  <si>
    <t>STU0357</t>
  </si>
  <si>
    <t>STU0358</t>
  </si>
  <si>
    <t>STU0359</t>
  </si>
  <si>
    <t>STU0360</t>
  </si>
  <si>
    <t>STU0361</t>
  </si>
  <si>
    <t>STU0362</t>
  </si>
  <si>
    <t>STU0363</t>
  </si>
  <si>
    <t>STU0364</t>
  </si>
  <si>
    <t>STU0365</t>
  </si>
  <si>
    <t>STU0366</t>
  </si>
  <si>
    <t>STU0367</t>
  </si>
  <si>
    <t>STU0368</t>
  </si>
  <si>
    <t>STU0369</t>
  </si>
  <si>
    <t>STU0370</t>
  </si>
  <si>
    <t>STU0371</t>
  </si>
  <si>
    <t>STU0372</t>
  </si>
  <si>
    <t>STU0373</t>
  </si>
  <si>
    <t>STU0374</t>
  </si>
  <si>
    <t>STU0375</t>
  </si>
  <si>
    <t>STU0376</t>
  </si>
  <si>
    <t>STU0377</t>
  </si>
  <si>
    <t>STU0378</t>
  </si>
  <si>
    <t>STU0379</t>
  </si>
  <si>
    <t>STU0380</t>
  </si>
  <si>
    <t>STU0381</t>
  </si>
  <si>
    <t>STU0382</t>
  </si>
  <si>
    <t>STU0383</t>
  </si>
  <si>
    <t>STU0384</t>
  </si>
  <si>
    <t>STU0385</t>
  </si>
  <si>
    <t>STU0386</t>
  </si>
  <si>
    <t>STU0387</t>
  </si>
  <si>
    <t>STU0388</t>
  </si>
  <si>
    <t>STU0389</t>
  </si>
  <si>
    <t>STU0390</t>
  </si>
  <si>
    <t>STU0391</t>
  </si>
  <si>
    <t>STU0392</t>
  </si>
  <si>
    <t>STU0393</t>
  </si>
  <si>
    <t>STU0394</t>
  </si>
  <si>
    <t>STU0395</t>
  </si>
  <si>
    <t>STU0396</t>
  </si>
  <si>
    <t>STU0397</t>
  </si>
  <si>
    <t>STU0398</t>
  </si>
  <si>
    <t>STU0399</t>
  </si>
  <si>
    <t>STU0400</t>
  </si>
  <si>
    <t>STU0401</t>
  </si>
  <si>
    <t>STU0402</t>
  </si>
  <si>
    <t>STU0403</t>
  </si>
  <si>
    <t>STU0404</t>
  </si>
  <si>
    <t>STU0405</t>
  </si>
  <si>
    <t>STU0406</t>
  </si>
  <si>
    <t>STU0407</t>
  </si>
  <si>
    <t>STU0408</t>
  </si>
  <si>
    <t>STU0409</t>
  </si>
  <si>
    <t>STU0410</t>
  </si>
  <si>
    <t>STU0411</t>
  </si>
  <si>
    <t>STU0412</t>
  </si>
  <si>
    <t>STU0413</t>
  </si>
  <si>
    <t>STU0414</t>
  </si>
  <si>
    <t>STU0415</t>
  </si>
  <si>
    <t>STU0416</t>
  </si>
  <si>
    <t>STU0417</t>
  </si>
  <si>
    <t>STU0418</t>
  </si>
  <si>
    <t>STU0419</t>
  </si>
  <si>
    <t>STU0420</t>
  </si>
  <si>
    <t>STU0421</t>
  </si>
  <si>
    <t>STU0422</t>
  </si>
  <si>
    <t>STU0423</t>
  </si>
  <si>
    <t>STU0424</t>
  </si>
  <si>
    <t>STU0425</t>
  </si>
  <si>
    <t>STU0426</t>
  </si>
  <si>
    <t>STU0427</t>
  </si>
  <si>
    <t>STU0428</t>
  </si>
  <si>
    <t>STU0429</t>
  </si>
  <si>
    <t>STU0430</t>
  </si>
  <si>
    <t>STU0431</t>
  </si>
  <si>
    <t>STU0432</t>
  </si>
  <si>
    <t>STU0433</t>
  </si>
  <si>
    <t>STU0434</t>
  </si>
  <si>
    <t>STU0435</t>
  </si>
  <si>
    <t>STU0436</t>
  </si>
  <si>
    <t>STU0437</t>
  </si>
  <si>
    <t>STU0438</t>
  </si>
  <si>
    <t>STU0439</t>
  </si>
  <si>
    <t>STU0440</t>
  </si>
  <si>
    <t>STU0441</t>
  </si>
  <si>
    <t>STU0442</t>
  </si>
  <si>
    <t>STU0443</t>
  </si>
  <si>
    <t>STU0444</t>
  </si>
  <si>
    <t>STU0445</t>
  </si>
  <si>
    <t>STU0446</t>
  </si>
  <si>
    <t>STU0447</t>
  </si>
  <si>
    <t>STU0448</t>
  </si>
  <si>
    <t>STU0449</t>
  </si>
  <si>
    <t>STU0450</t>
  </si>
  <si>
    <t>STU0451</t>
  </si>
  <si>
    <t>STU0452</t>
  </si>
  <si>
    <t>STU0453</t>
  </si>
  <si>
    <t>STU0454</t>
  </si>
  <si>
    <t>STU0455</t>
  </si>
  <si>
    <t>STU0456</t>
  </si>
  <si>
    <t>STU0457</t>
  </si>
  <si>
    <t>STU0458</t>
  </si>
  <si>
    <t>STU0459</t>
  </si>
  <si>
    <t>STU0460</t>
  </si>
  <si>
    <t>STU0461</t>
  </si>
  <si>
    <t>STU0462</t>
  </si>
  <si>
    <t>STU0463</t>
  </si>
  <si>
    <t>STU0464</t>
  </si>
  <si>
    <t>STU0465</t>
  </si>
  <si>
    <t>STU0466</t>
  </si>
  <si>
    <t>STU0467</t>
  </si>
  <si>
    <t>STU0468</t>
  </si>
  <si>
    <t>STU0469</t>
  </si>
  <si>
    <t>STU0470</t>
  </si>
  <si>
    <t>STU0471</t>
  </si>
  <si>
    <t>STU0472</t>
  </si>
  <si>
    <t>STU0473</t>
  </si>
  <si>
    <t>STU0474</t>
  </si>
  <si>
    <t>STU0475</t>
  </si>
  <si>
    <t>STU0476</t>
  </si>
  <si>
    <t>STU0477</t>
  </si>
  <si>
    <t>STU0478</t>
  </si>
  <si>
    <t>STU0479</t>
  </si>
  <si>
    <t>STU0480</t>
  </si>
  <si>
    <t>STU0481</t>
  </si>
  <si>
    <t>STU0482</t>
  </si>
  <si>
    <t>STU0483</t>
  </si>
  <si>
    <t>STU0484</t>
  </si>
  <si>
    <t>STU0485</t>
  </si>
  <si>
    <t>STU0486</t>
  </si>
  <si>
    <t>STU0487</t>
  </si>
  <si>
    <t>STU0488</t>
  </si>
  <si>
    <t>STU0489</t>
  </si>
  <si>
    <t>STU0490</t>
  </si>
  <si>
    <t>STU0491</t>
  </si>
  <si>
    <t>STU0492</t>
  </si>
  <si>
    <t>STU0493</t>
  </si>
  <si>
    <t>STU0494</t>
  </si>
  <si>
    <t>STU0495</t>
  </si>
  <si>
    <t>STU0496</t>
  </si>
  <si>
    <t>STU0497</t>
  </si>
  <si>
    <t>STU0498</t>
  </si>
  <si>
    <t>STU0499</t>
  </si>
  <si>
    <t>STU0500</t>
  </si>
  <si>
    <t>STU0501</t>
  </si>
  <si>
    <t>STU0502</t>
  </si>
  <si>
    <t>STU0503</t>
  </si>
  <si>
    <t>STU0504</t>
  </si>
  <si>
    <t>STU0505</t>
  </si>
  <si>
    <t>STU0506</t>
  </si>
  <si>
    <t>STU0507</t>
  </si>
  <si>
    <t>STU0508</t>
  </si>
  <si>
    <t>STU0509</t>
  </si>
  <si>
    <t>STU0510</t>
  </si>
  <si>
    <t>STU0511</t>
  </si>
  <si>
    <t>STU0512</t>
  </si>
  <si>
    <t>STU0513</t>
  </si>
  <si>
    <t>STU0514</t>
  </si>
  <si>
    <t>STU0515</t>
  </si>
  <si>
    <t>STU0516</t>
  </si>
  <si>
    <t>STU0517</t>
  </si>
  <si>
    <t>STU0518</t>
  </si>
  <si>
    <t>STU0519</t>
  </si>
  <si>
    <t>STU0520</t>
  </si>
  <si>
    <t>STU0521</t>
  </si>
  <si>
    <t>STU0522</t>
  </si>
  <si>
    <t>STU0523</t>
  </si>
  <si>
    <t>STU0524</t>
  </si>
  <si>
    <t>STU0525</t>
  </si>
  <si>
    <t>STU0526</t>
  </si>
  <si>
    <t>STU0527</t>
  </si>
  <si>
    <t>STU0528</t>
  </si>
  <si>
    <t>STU0529</t>
  </si>
  <si>
    <t>STU0530</t>
  </si>
  <si>
    <t>STU0531</t>
  </si>
  <si>
    <t>STU0532</t>
  </si>
  <si>
    <t>STU0533</t>
  </si>
  <si>
    <t>STU0534</t>
  </si>
  <si>
    <t>STU0535</t>
  </si>
  <si>
    <t>STU0536</t>
  </si>
  <si>
    <t>STU0537</t>
  </si>
  <si>
    <t>STU0538</t>
  </si>
  <si>
    <t>STU0539</t>
  </si>
  <si>
    <t>STU0540</t>
  </si>
  <si>
    <t>STU0541</t>
  </si>
  <si>
    <t>STU0542</t>
  </si>
  <si>
    <t>STU0543</t>
  </si>
  <si>
    <t>STU0544</t>
  </si>
  <si>
    <t>STU0545</t>
  </si>
  <si>
    <t>STU0546</t>
  </si>
  <si>
    <t>STU0547</t>
  </si>
  <si>
    <t>STU0548</t>
  </si>
  <si>
    <t>STU0549</t>
  </si>
  <si>
    <t>STU0550</t>
  </si>
  <si>
    <t>STU0551</t>
  </si>
  <si>
    <t>STU0552</t>
  </si>
  <si>
    <t>STU0553</t>
  </si>
  <si>
    <t>STU0554</t>
  </si>
  <si>
    <t>STU0555</t>
  </si>
  <si>
    <t>STU0556</t>
  </si>
  <si>
    <t>STU0557</t>
  </si>
  <si>
    <t>STU0558</t>
  </si>
  <si>
    <t>STU0559</t>
  </si>
  <si>
    <t>STU0560</t>
  </si>
  <si>
    <t>STU0561</t>
  </si>
  <si>
    <t>STU0562</t>
  </si>
  <si>
    <t>STU0563</t>
  </si>
  <si>
    <t>STU0564</t>
  </si>
  <si>
    <t>STU0565</t>
  </si>
  <si>
    <t>STU0566</t>
  </si>
  <si>
    <t>STU0567</t>
  </si>
  <si>
    <t>STU0568</t>
  </si>
  <si>
    <t>STU0569</t>
  </si>
  <si>
    <t>STU0570</t>
  </si>
  <si>
    <t>STU0571</t>
  </si>
  <si>
    <t>STU0572</t>
  </si>
  <si>
    <t>STU0573</t>
  </si>
  <si>
    <t>STU0574</t>
  </si>
  <si>
    <t>STU0575</t>
  </si>
  <si>
    <t>STU0576</t>
  </si>
  <si>
    <t>STU0577</t>
  </si>
  <si>
    <t>STU0578</t>
  </si>
  <si>
    <t>STU0579</t>
  </si>
  <si>
    <t>STU0580</t>
  </si>
  <si>
    <t>STU0581</t>
  </si>
  <si>
    <t>STU0582</t>
  </si>
  <si>
    <t>STU0583</t>
  </si>
  <si>
    <t>STU0584</t>
  </si>
  <si>
    <t>STU0585</t>
  </si>
  <si>
    <t>STU0586</t>
  </si>
  <si>
    <t>STU0587</t>
  </si>
  <si>
    <t>STU0588</t>
  </si>
  <si>
    <t>STU0589</t>
  </si>
  <si>
    <t>STU0590</t>
  </si>
  <si>
    <t>STU0591</t>
  </si>
  <si>
    <t>STU0592</t>
  </si>
  <si>
    <t>STU0593</t>
  </si>
  <si>
    <t>STU0594</t>
  </si>
  <si>
    <t>STU0595</t>
  </si>
  <si>
    <t>STU0596</t>
  </si>
  <si>
    <t>STU0597</t>
  </si>
  <si>
    <t>STU0598</t>
  </si>
  <si>
    <t>STU0599</t>
  </si>
  <si>
    <t>STU0600</t>
  </si>
  <si>
    <t>Pavithra Sharma</t>
  </si>
  <si>
    <t>Swetha Rani</t>
  </si>
  <si>
    <t>Vaishnavi Devi</t>
  </si>
  <si>
    <t>Rahul Kumar</t>
  </si>
  <si>
    <t>Rakesh Priya</t>
  </si>
  <si>
    <t>Aishwarya Kumar</t>
  </si>
  <si>
    <t>Aditya Devi</t>
  </si>
  <si>
    <t>Priya Priya</t>
  </si>
  <si>
    <t>Dinesh Devi</t>
  </si>
  <si>
    <t>Lavanya Devi</t>
  </si>
  <si>
    <t>Naveen Rani</t>
  </si>
  <si>
    <t>Rohit Rani</t>
  </si>
  <si>
    <t>Deepika Raj</t>
  </si>
  <si>
    <t>Krishna Priya</t>
  </si>
  <si>
    <t>Manoj Raj</t>
  </si>
  <si>
    <t>Ramya Priya</t>
  </si>
  <si>
    <t>Shreya Kumar</t>
  </si>
  <si>
    <t>Krishna Kumar</t>
  </si>
  <si>
    <t>Gokul Priya</t>
  </si>
  <si>
    <t>Sneha Devi</t>
  </si>
  <si>
    <t>Surya Sharma</t>
  </si>
  <si>
    <t>Keerthana Priya</t>
  </si>
  <si>
    <t>Ramya Raj</t>
  </si>
  <si>
    <t>Akash Devi</t>
  </si>
  <si>
    <t>Aishwarya Priya</t>
  </si>
  <si>
    <t>Ramya Sharma</t>
  </si>
  <si>
    <t>Nandhini Kumar</t>
  </si>
  <si>
    <t>Ramya Devi</t>
  </si>
  <si>
    <t>Surya Rani</t>
  </si>
  <si>
    <t>Rohit Priya</t>
  </si>
  <si>
    <t>Swetha Sharma</t>
  </si>
  <si>
    <t>Surya Raj</t>
  </si>
  <si>
    <t>Yamuna Kumar</t>
  </si>
  <si>
    <t>Pavithra Priya</t>
  </si>
  <si>
    <t>Meena Sharma</t>
  </si>
  <si>
    <t>Yamuna Sharma</t>
  </si>
  <si>
    <t>Swetha Kumar</t>
  </si>
  <si>
    <t>Harini Priya</t>
  </si>
  <si>
    <t>Aishwarya Sharma</t>
  </si>
  <si>
    <t>Nandhini Sharma</t>
  </si>
  <si>
    <t>Manoj Sharma</t>
  </si>
  <si>
    <t>Ashwin Sharma</t>
  </si>
  <si>
    <t>Harish Rani</t>
  </si>
  <si>
    <t>Rakesh Raj</t>
  </si>
  <si>
    <t>Vignesh Priya</t>
  </si>
  <si>
    <t>Rahul Rani</t>
  </si>
  <si>
    <t>Pranav Sharma</t>
  </si>
  <si>
    <t>Vaishnavi Kumar</t>
  </si>
  <si>
    <t>Rohit Kumar</t>
  </si>
  <si>
    <t>Lavanya Rani</t>
  </si>
  <si>
    <t>Ananya Raj</t>
  </si>
  <si>
    <t>Deepika Devi</t>
  </si>
  <si>
    <t>Rohit Sharma</t>
  </si>
  <si>
    <t>Aarav Raj</t>
  </si>
  <si>
    <t>Pranav Priya</t>
  </si>
  <si>
    <t>Aishwarya Raj</t>
  </si>
  <si>
    <t>Keerthana Raj</t>
  </si>
  <si>
    <t>Ananya Rani</t>
  </si>
  <si>
    <t>Naveen Sharma</t>
  </si>
  <si>
    <t>Aditya Raj</t>
  </si>
  <si>
    <t>Reshma Devi</t>
  </si>
  <si>
    <t>Pranav Devi</t>
  </si>
  <si>
    <t>Lavanya Kumar</t>
  </si>
  <si>
    <t>Anjali Kumar</t>
  </si>
  <si>
    <t>Sahana Priya</t>
  </si>
  <si>
    <t>Ananya Priya</t>
  </si>
  <si>
    <t>Gokul Rani</t>
  </si>
  <si>
    <t>Yamuna Priya</t>
  </si>
  <si>
    <t>Surya Kumar</t>
  </si>
  <si>
    <t>Keerthana Rani</t>
  </si>
  <si>
    <t>Sahana Devi</t>
  </si>
  <si>
    <t>Shreya Rani</t>
  </si>
  <si>
    <t>Anjali Rani</t>
  </si>
  <si>
    <t>Sanjay Devi</t>
  </si>
  <si>
    <t>Ashwin Kumar</t>
  </si>
  <si>
    <t>Surya Priya</t>
  </si>
  <si>
    <t>Sneha Sharma</t>
  </si>
  <si>
    <t>Rakesh Kumar</t>
  </si>
  <si>
    <t>Lavanya Priya</t>
  </si>
  <si>
    <t>Arjun Raj</t>
  </si>
  <si>
    <t>Bharath Priya</t>
  </si>
  <si>
    <t>Krishna Raj</t>
  </si>
  <si>
    <t>Swetha Priya</t>
  </si>
  <si>
    <t>Rohit Raj</t>
  </si>
  <si>
    <t>Priya Raj</t>
  </si>
  <si>
    <t>Keerthana Kumar</t>
  </si>
  <si>
    <t>Bharath Sharma</t>
  </si>
  <si>
    <t>Gokul Kumar</t>
  </si>
  <si>
    <t>Aditya Priya</t>
  </si>
  <si>
    <t>Naveen Devi</t>
  </si>
  <si>
    <t>Rakesh Sharma</t>
  </si>
  <si>
    <t>Deepika Kumar</t>
  </si>
  <si>
    <t>Krishna Rani</t>
  </si>
  <si>
    <t>Rakesh Rani</t>
  </si>
  <si>
    <t>Yamuna Devi</t>
  </si>
  <si>
    <t>Dinesh Rani</t>
  </si>
  <si>
    <t>Vaishnavi Raj</t>
  </si>
  <si>
    <t>Anjali Priya</t>
  </si>
  <si>
    <t>Priya Rani</t>
  </si>
  <si>
    <t>Anjali Devi</t>
  </si>
  <si>
    <t>Karthik Rani</t>
  </si>
  <si>
    <t>Ananya Kumar</t>
  </si>
  <si>
    <t>Vignesh Rani</t>
  </si>
  <si>
    <t>Krishna Devi</t>
  </si>
  <si>
    <t>Aishwarya Rani</t>
  </si>
  <si>
    <t>Karthik Priya</t>
  </si>
  <si>
    <t>Rahul Raj</t>
  </si>
  <si>
    <t>Sneha Kumar</t>
  </si>
  <si>
    <t>Aditya Kumar</t>
  </si>
  <si>
    <t>Naveen Kumar</t>
  </si>
  <si>
    <t>Ramya Kumar</t>
  </si>
  <si>
    <t>Harini Sharma</t>
  </si>
  <si>
    <t>Naveen Raj</t>
  </si>
  <si>
    <t>Sanjay Kumar</t>
  </si>
  <si>
    <t>Pranav Rani</t>
  </si>
  <si>
    <t>Pavithra Kumar</t>
  </si>
  <si>
    <t>Lavanya Sharma</t>
  </si>
  <si>
    <t>Keerthana Sharma</t>
  </si>
  <si>
    <t>Nandhini Rani</t>
  </si>
  <si>
    <t>Karthik Raj</t>
  </si>
  <si>
    <t>Sanjay Rani</t>
  </si>
  <si>
    <t>Meena Devi</t>
  </si>
  <si>
    <t>Divya Devi</t>
  </si>
  <si>
    <t>Sahana Rani</t>
  </si>
  <si>
    <t>Ashwin Devi</t>
  </si>
  <si>
    <t>Aarav Priya</t>
  </si>
  <si>
    <t>Bharath Rani</t>
  </si>
  <si>
    <t>Harish Kumar</t>
  </si>
  <si>
    <t>Arjun Sharma</t>
  </si>
  <si>
    <t>Swetha Devi</t>
  </si>
  <si>
    <t>Manoj Priya</t>
  </si>
  <si>
    <t>Reshma Sharma</t>
  </si>
  <si>
    <t>Ananya Sharma</t>
  </si>
  <si>
    <t>Pavithra Rani</t>
  </si>
  <si>
    <t>Aishwarya Devi</t>
  </si>
  <si>
    <t>Akash Raj</t>
  </si>
  <si>
    <t>Akash Sharma</t>
  </si>
  <si>
    <t>Aarav Kumar</t>
  </si>
  <si>
    <t>Karthik Sharma</t>
  </si>
  <si>
    <t>Arjun Devi</t>
  </si>
  <si>
    <t>Harish Devi</t>
  </si>
  <si>
    <t>Divya Sharma</t>
  </si>
  <si>
    <t>Sanjay Sharma</t>
  </si>
  <si>
    <t>Harini Rani</t>
  </si>
  <si>
    <t>Dinesh Raj</t>
  </si>
  <si>
    <t>Shreya Priya</t>
  </si>
  <si>
    <t>Shreya Sharma</t>
  </si>
  <si>
    <t>Sahana Raj</t>
  </si>
  <si>
    <t>Rahul Devi</t>
  </si>
  <si>
    <t>Pavithra Devi</t>
  </si>
  <si>
    <t>Pavithra Raj</t>
  </si>
  <si>
    <t>Anjali Sharma</t>
  </si>
  <si>
    <t>Bharath Raj</t>
  </si>
  <si>
    <t>Rakesh Devi</t>
  </si>
  <si>
    <t>Dinesh Kumar</t>
  </si>
  <si>
    <t>Manoj Rani</t>
  </si>
  <si>
    <t>Shreya Raj</t>
  </si>
  <si>
    <t>Meena Rani</t>
  </si>
  <si>
    <t>Sneha Rani</t>
  </si>
  <si>
    <t>Deepika Rani</t>
  </si>
  <si>
    <t>Harini Devi</t>
  </si>
  <si>
    <t>Bharath Kumar</t>
  </si>
  <si>
    <t>Akash Priya</t>
  </si>
  <si>
    <t>Manoj Kumar</t>
  </si>
  <si>
    <t>Vignesh Raj</t>
  </si>
  <si>
    <t>Akash Kumar</t>
  </si>
  <si>
    <t>Akash Rani</t>
  </si>
  <si>
    <t>Ramya Rani</t>
  </si>
  <si>
    <t>Nandhini Raj</t>
  </si>
  <si>
    <t>Shreya Devi</t>
  </si>
  <si>
    <t>Keerthana Devi</t>
  </si>
  <si>
    <t>Gokul Devi</t>
  </si>
  <si>
    <t>Naveen Priya</t>
  </si>
  <si>
    <t>Surya Devi</t>
  </si>
  <si>
    <t>Divya Rani</t>
  </si>
  <si>
    <t>Reshma Rani</t>
  </si>
  <si>
    <t>Pranav Kumar</t>
  </si>
  <si>
    <t>Divya Raj</t>
  </si>
  <si>
    <t>Harish Priya</t>
  </si>
  <si>
    <t>Reshma Raj</t>
  </si>
  <si>
    <t>Priya Sharma</t>
  </si>
  <si>
    <t>Rohit Devi</t>
  </si>
  <si>
    <t>Aditya Sharma</t>
  </si>
  <si>
    <t>Yamuna Raj</t>
  </si>
  <si>
    <t>Ananya Devi</t>
  </si>
  <si>
    <t>Gokul Sharma</t>
  </si>
  <si>
    <t>Sneha Priya</t>
  </si>
  <si>
    <t>Yamuna Rani</t>
  </si>
  <si>
    <t>Ashwin Raj</t>
  </si>
  <si>
    <t>Aarav Devi</t>
  </si>
  <si>
    <t>Deepika Sharma</t>
  </si>
  <si>
    <t>Sneha Raj</t>
  </si>
  <si>
    <t>Sanjay Priya</t>
  </si>
  <si>
    <t>Vaishnavi Priya</t>
  </si>
  <si>
    <t>Sahana Kumar</t>
  </si>
  <si>
    <t>Dinesh Priya</t>
  </si>
  <si>
    <t>Divya Priya</t>
  </si>
  <si>
    <t>Divya Kumar</t>
  </si>
  <si>
    <t>Arjun Priya</t>
  </si>
  <si>
    <t>Sanjay Raj</t>
  </si>
  <si>
    <t>Bharath Devi</t>
  </si>
  <si>
    <t>Ashwin Rani</t>
  </si>
  <si>
    <t>Lavanya Raj</t>
  </si>
  <si>
    <t>Meena Priya</t>
  </si>
  <si>
    <t>Meena Kumar</t>
  </si>
  <si>
    <t>Reshma Priya</t>
  </si>
  <si>
    <t>Vaishnavi Sharma</t>
  </si>
  <si>
    <t>Karthik Kumar</t>
  </si>
  <si>
    <t>Gokul Raj</t>
  </si>
  <si>
    <t>Harini Kumar</t>
  </si>
  <si>
    <t>Vaishnavi Rani</t>
  </si>
  <si>
    <t>Aarav Sharma</t>
  </si>
  <si>
    <t>Swetha Raj</t>
  </si>
  <si>
    <t>Krishna Sharma</t>
  </si>
  <si>
    <t>Male</t>
  </si>
  <si>
    <t>Female</t>
  </si>
  <si>
    <t>Commerce</t>
  </si>
  <si>
    <t>Business Administration</t>
  </si>
  <si>
    <t>Physics</t>
  </si>
  <si>
    <t>Information Technology</t>
  </si>
  <si>
    <t>Computer Science</t>
  </si>
  <si>
    <t>Mathematics</t>
  </si>
  <si>
    <t>Tiruppur</t>
  </si>
  <si>
    <t>Coimbatore</t>
  </si>
  <si>
    <t>Erode</t>
  </si>
  <si>
    <t>Chennai</t>
  </si>
  <si>
    <t>Salem</t>
  </si>
  <si>
    <t>Karur</t>
  </si>
  <si>
    <t>Trichy</t>
  </si>
  <si>
    <t>Madurai</t>
  </si>
  <si>
    <t>Total_Marks</t>
  </si>
  <si>
    <t>Average</t>
  </si>
  <si>
    <t>Performance</t>
  </si>
  <si>
    <t>FeedBack</t>
  </si>
  <si>
    <t>Grand Total</t>
  </si>
  <si>
    <t>Distinct Count of Student_ID</t>
  </si>
  <si>
    <t>Row Labels</t>
  </si>
  <si>
    <t>Distinct Count of Department</t>
  </si>
  <si>
    <t>Distinct Count of City</t>
  </si>
  <si>
    <t>Sum of Total_Marks</t>
  </si>
  <si>
    <t>Average of Total_Marks</t>
  </si>
  <si>
    <t>Average of Attendance_Percentage</t>
  </si>
  <si>
    <t>Average of Average</t>
  </si>
  <si>
    <t>Below Average</t>
  </si>
  <si>
    <t>Excellent</t>
  </si>
  <si>
    <t>Good</t>
  </si>
  <si>
    <t>Count of Student_ID</t>
  </si>
  <si>
    <t>Sum of Average</t>
  </si>
  <si>
    <t>Sum of Attendance_Percentage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</si>
</sst>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[Student_Marks_600_Rows.xlsx]Sheet4!PivotTable4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a:solidFill>
                  <a:srgbClr val="0070C0"/>
                </a:solidFill>
                <a:latin typeface="Segoe UI Semibold" panose="020B0702040204020203" pitchFamily="34" charset="0"/>
                <a:cs typeface="Segoe UI Semibold" panose="020B0702040204020203" pitchFamily="34" charset="0"/>
              </a:rPr>
              <a:t>Department Vs Average Percentage</a:t>
            </a:r>
          </a:p>
        </c:rich>
      </c:tx>
      <c:overlay val="0"/>
      <c:spPr>
        <a:noFill/>
        <a:ln>
          <a:noFill/>
        </a:ln>
        <a:effectLst/>
      </c:sp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elete val="1"/>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elete val="1"/>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elete val="1"/>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elete val="1"/>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elete val="1"/>
          <c:extLst>
            <c:ext xmlns:c15="http://schemas.microsoft.com/office/drawing/2012/chart" uri="{CE6537A1-D6FC-4f65-9D91-7224C49458BB}"/>
          </c:extLst>
        </c:dLbl>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elete val="1"/>
          <c:extLst>
            <c:ext xmlns:c15="http://schemas.microsoft.com/office/drawing/2012/chart" uri="{CE6537A1-D6FC-4f65-9D91-7224C49458BB}"/>
          </c:extLst>
        </c:dLbl>
      </c:pivotFmt>
      <c:pivotFmt>
        <c:idx val="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elete val="1"/>
          <c:extLst>
            <c:ext xmlns:c15="http://schemas.microsoft.com/office/drawing/2012/chart" uri="{CE6537A1-D6FC-4f65-9D91-7224C49458BB}"/>
          </c:extLst>
        </c:dLbl>
      </c:pivotFmt>
      <c:pivotFmt>
        <c:idx val="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elete val="1"/>
          <c:extLst>
            <c:ext xmlns:c15="http://schemas.microsoft.com/office/drawing/2012/chart" uri="{CE6537A1-D6FC-4f65-9D91-7224C49458BB}"/>
          </c:extLst>
        </c:dLbl>
      </c:pivotFmt>
      <c:pivotFmt>
        <c:idx val="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wrap="square" lIns="38100" tIns="19050" rIns="38100" bIns="19050" anchor="ctr">
              <a:spAutoFit/>
            </a:bodyPr>
            <a:lstStyle/>
            <a:p>
              <a:pPr>
                <a:defRPr sz="800" b="1">
                  <a:solidFill>
                    <a:schemeClr val="tx1"/>
                  </a:solidFill>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Sheet4!$B$3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wrap="square" lIns="38100" tIns="19050" rIns="38100" bIns="19050" anchor="ctr">
                <a:spAutoFit/>
              </a:bodyPr>
              <a:lstStyle/>
              <a:p>
                <a:pPr>
                  <a:defRPr sz="800" b="1">
                    <a:solidFill>
                      <a:schemeClr val="tx1"/>
                    </a:solidFill>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Sheet4!$A$4:$A$10</c:f>
              <c:strCache>
                <c:ptCount val="6"/>
                <c:pt idx="0">
                  <c:v>Business Administration</c:v>
                </c:pt>
                <c:pt idx="1">
                  <c:v>Commerce</c:v>
                </c:pt>
                <c:pt idx="2">
                  <c:v>Computer Science</c:v>
                </c:pt>
                <c:pt idx="3">
                  <c:v>Information Technology</c:v>
                </c:pt>
                <c:pt idx="4">
                  <c:v>Mathematics</c:v>
                </c:pt>
                <c:pt idx="5">
                  <c:v>Physics</c:v>
                </c:pt>
              </c:strCache>
            </c:strRef>
          </c:cat>
          <c:val>
            <c:numRef>
              <c:f>Sheet4!$B$4:$B$10</c:f>
              <c:numCache>
                <c:formatCode>General</c:formatCode>
                <c:ptCount val="6"/>
                <c:pt idx="0">
                  <c:v>81.8125</c:v>
                </c:pt>
                <c:pt idx="1">
                  <c:v>81.342592592592595</c:v>
                </c:pt>
                <c:pt idx="2">
                  <c:v>80.018018018018012</c:v>
                </c:pt>
                <c:pt idx="3">
                  <c:v>81.188679245283012</c:v>
                </c:pt>
                <c:pt idx="4">
                  <c:v>81.102040816326536</c:v>
                </c:pt>
                <c:pt idx="5">
                  <c:v>83.456790123456784</c:v>
                </c:pt>
              </c:numCache>
            </c:numRef>
          </c:val>
          <c:extLst>
            <c:ext xmlns:c16="http://schemas.microsoft.com/office/drawing/2014/chart" uri="{C3380CC4-5D6E-409C-BE32-E72D297353CC}">
              <c16:uniqueId val="{00000009-F43D-4EC5-9941-2B9D92814ADA}"/>
            </c:ext>
          </c:extLst>
        </c:ser>
        <c:dLbls>
          <c:showLegendKey val="0"/>
          <c:showVal val="1"/>
          <c:showCatName val="0"/>
          <c:showSerName val="0"/>
          <c:showPercent val="0"/>
          <c:showBubbleSize val="0"/>
        </c:dLbls>
        <c:gapWidth val="150"/>
        <c:shape val="box"/>
        <c:axId val="1928315904"/>
        <c:axId val="1310479952"/>
        <c:axId val="0"/>
      </c:bar3DChart>
      <c:catAx>
        <c:axId val="19283159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310479952"/>
        <c:crosses val="autoZero"/>
        <c:auto val="1"/>
        <c:lblAlgn val="ctr"/>
        <c:lblOffset val="100"/>
        <c:noMultiLvlLbl val="0"/>
      </c:catAx>
      <c:valAx>
        <c:axId val="1310479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928315904"/>
        <c:crosses val="autoZero"/>
        <c:crossBetween val="between"/>
      </c:valAx>
      <c:spPr>
        <a:noFill/>
        <a:ln>
          <a:no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[Student_Marks_600_Rows.xlsx]Sheet4!PivotTable5</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a:solidFill>
                  <a:srgbClr val="0070C0"/>
                </a:solidFill>
                <a:latin typeface="Segoe UI Semibold" panose="020B0702040204020203" pitchFamily="34" charset="0"/>
                <a:cs typeface="Segoe UI Semibold" panose="020B0702040204020203" pitchFamily="34" charset="0"/>
              </a:rPr>
              <a:t>City</a:t>
            </a:r>
            <a:r>
              <a:rPr lang="en-IN" sz="1200" baseline="0">
                <a:solidFill>
                  <a:srgbClr val="0070C0"/>
                </a:solidFill>
                <a:latin typeface="Segoe UI Semibold" panose="020B0702040204020203" pitchFamily="34" charset="0"/>
                <a:cs typeface="Segoe UI Semibold" panose="020B0702040204020203" pitchFamily="34" charset="0"/>
              </a:rPr>
              <a:t> Wise Marks Analysis</a:t>
            </a:r>
            <a:endParaRPr lang="en-IN" sz="1200">
              <a:solidFill>
                <a:srgbClr val="0070C0"/>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Sheet4!$B$28</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Sheet4!$A$29:$A$37</c:f>
              <c:strCache>
                <c:ptCount val="8"/>
                <c:pt idx="0">
                  <c:v>Chennai</c:v>
                </c:pt>
                <c:pt idx="1">
                  <c:v>Coimbatore</c:v>
                </c:pt>
                <c:pt idx="2">
                  <c:v>Erode</c:v>
                </c:pt>
                <c:pt idx="3">
                  <c:v>Karur</c:v>
                </c:pt>
                <c:pt idx="4">
                  <c:v>Madurai</c:v>
                </c:pt>
                <c:pt idx="5">
                  <c:v>Salem</c:v>
                </c:pt>
                <c:pt idx="6">
                  <c:v>Tiruppur</c:v>
                </c:pt>
                <c:pt idx="7">
                  <c:v>Trichy</c:v>
                </c:pt>
              </c:strCache>
            </c:strRef>
          </c:cat>
          <c:val>
            <c:numRef>
              <c:f>Sheet4!$B$29:$B$37</c:f>
              <c:numCache>
                <c:formatCode>General</c:formatCode>
                <c:ptCount val="8"/>
                <c:pt idx="0">
                  <c:v>23978</c:v>
                </c:pt>
                <c:pt idx="1">
                  <c:v>25277</c:v>
                </c:pt>
                <c:pt idx="2">
                  <c:v>23641</c:v>
                </c:pt>
                <c:pt idx="3">
                  <c:v>25505</c:v>
                </c:pt>
                <c:pt idx="4">
                  <c:v>27182</c:v>
                </c:pt>
                <c:pt idx="5">
                  <c:v>23024</c:v>
                </c:pt>
                <c:pt idx="6">
                  <c:v>24440</c:v>
                </c:pt>
                <c:pt idx="7">
                  <c:v>18661</c:v>
                </c:pt>
              </c:numCache>
            </c:numRef>
          </c:val>
          <c:extLst>
            <c:ext xmlns:c16="http://schemas.microsoft.com/office/drawing/2014/chart" uri="{C3380CC4-5D6E-409C-BE32-E72D297353CC}">
              <c16:uniqueId val="{00000000-2270-4D4E-B482-D343DEF26543}"/>
            </c:ext>
          </c:extLst>
        </c:ser>
        <c:dLbls>
          <c:showLegendKey val="0"/>
          <c:showVal val="1"/>
          <c:showCatName val="0"/>
          <c:showSerName val="0"/>
          <c:showPercent val="0"/>
          <c:showBubbleSize val="0"/>
        </c:dLbls>
        <c:gapWidth val="150"/>
        <c:shape val="box"/>
        <c:axId val="2089605712"/>
        <c:axId val="1310467472"/>
        <c:axId val="0"/>
      </c:bar3DChart>
      <c:catAx>
        <c:axId val="20896057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310467472"/>
        <c:crosses val="autoZero"/>
        <c:auto val="1"/>
        <c:lblAlgn val="ctr"/>
        <c:lblOffset val="100"/>
        <c:noMultiLvlLbl val="0"/>
      </c:catAx>
      <c:valAx>
        <c:axId val="13104674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208960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[Student_Marks_600_Rows.xlsx]Sheet4!PivotTable1</c:name>
    <c:fmtId val="1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solidFill>
                  <a:srgbClr val="0070C0"/>
                </a:solidFill>
                <a:latin typeface="Segoe UI Semibold" panose="020B0702040204020203" pitchFamily="34" charset="0"/>
                <a:cs typeface="Segoe UI Semibold" panose="020B0702040204020203" pitchFamily="34" charset="0"/>
              </a:rPr>
              <a:t>FeedBack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5">
                  <a:tint val="86000"/>
                  <a:shade val="51000"/>
                  <a:satMod val="130000"/>
                </a:schemeClr>
              </a:gs>
              <a:gs pos="80000">
                <a:schemeClr val="accent5">
                  <a:tint val="86000"/>
                  <a:shade val="93000"/>
                  <a:satMod val="130000"/>
                </a:schemeClr>
              </a:gs>
              <a:gs pos="100000">
                <a:schemeClr val="accent5">
                  <a:tint val="860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555555555555556"/>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5">
                  <a:shade val="86000"/>
                  <a:shade val="51000"/>
                  <a:satMod val="130000"/>
                </a:schemeClr>
              </a:gs>
              <a:gs pos="80000">
                <a:schemeClr val="accent5">
                  <a:shade val="86000"/>
                  <a:shade val="93000"/>
                  <a:satMod val="130000"/>
                </a:schemeClr>
              </a:gs>
              <a:gs pos="100000">
                <a:schemeClr val="accent5">
                  <a:shade val="860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6388888888888889"/>
              <c:y val="-2.77777777777778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5">
                  <a:shade val="58000"/>
                  <a:shade val="51000"/>
                  <a:satMod val="130000"/>
                </a:schemeClr>
              </a:gs>
              <a:gs pos="80000">
                <a:schemeClr val="accent5">
                  <a:shade val="58000"/>
                  <a:shade val="93000"/>
                  <a:satMod val="130000"/>
                </a:schemeClr>
              </a:gs>
              <a:gs pos="100000">
                <a:schemeClr val="accent5">
                  <a:shade val="580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9.4444444444444442E-2"/>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5">
                  <a:tint val="58000"/>
                  <a:shade val="51000"/>
                  <a:satMod val="130000"/>
                </a:schemeClr>
              </a:gs>
              <a:gs pos="80000">
                <a:schemeClr val="accent5">
                  <a:tint val="58000"/>
                  <a:shade val="93000"/>
                  <a:satMod val="130000"/>
                </a:schemeClr>
              </a:gs>
              <a:gs pos="100000">
                <a:schemeClr val="accent5">
                  <a:tint val="580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7.2222222222222243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Sheet4!$B$61</c:f>
              <c:strCache>
                <c:ptCount val="1"/>
                <c:pt idx="0">
                  <c:v>Total</c:v>
                </c:pt>
              </c:strCache>
            </c:strRef>
          </c:tx>
          <c:dPt>
            <c:idx val="0"/>
            <c:bubble3D val="0"/>
            <c:spPr>
              <a:gradFill rotWithShape="1">
                <a:gsLst>
                  <a:gs pos="0">
                    <a:schemeClr val="accent5">
                      <a:shade val="58000"/>
                      <a:shade val="51000"/>
                      <a:satMod val="130000"/>
                    </a:schemeClr>
                  </a:gs>
                  <a:gs pos="80000">
                    <a:schemeClr val="accent5">
                      <a:shade val="58000"/>
                      <a:shade val="93000"/>
                      <a:satMod val="130000"/>
                    </a:schemeClr>
                  </a:gs>
                  <a:gs pos="100000">
                    <a:schemeClr val="accent5">
                      <a:shade val="58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4-6C29-4B3E-B11B-F29D6AE5E42E}"/>
              </c:ext>
            </c:extLst>
          </c:dPt>
          <c:dPt>
            <c:idx val="1"/>
            <c:bubble3D val="0"/>
            <c:spPr>
              <a:gradFill rotWithShape="1">
                <a:gsLst>
                  <a:gs pos="0">
                    <a:schemeClr val="accent5">
                      <a:shade val="86000"/>
                      <a:shade val="51000"/>
                      <a:satMod val="130000"/>
                    </a:schemeClr>
                  </a:gs>
                  <a:gs pos="80000">
                    <a:schemeClr val="accent5">
                      <a:shade val="86000"/>
                      <a:shade val="93000"/>
                      <a:satMod val="130000"/>
                    </a:schemeClr>
                  </a:gs>
                  <a:gs pos="100000">
                    <a:schemeClr val="accent5">
                      <a:shade val="86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6C29-4B3E-B11B-F29D6AE5E42E}"/>
              </c:ext>
            </c:extLst>
          </c:dPt>
          <c:dPt>
            <c:idx val="2"/>
            <c:bubble3D val="0"/>
            <c:spPr>
              <a:gradFill rotWithShape="1">
                <a:gsLst>
                  <a:gs pos="0">
                    <a:schemeClr val="accent5">
                      <a:tint val="86000"/>
                      <a:shade val="51000"/>
                      <a:satMod val="130000"/>
                    </a:schemeClr>
                  </a:gs>
                  <a:gs pos="80000">
                    <a:schemeClr val="accent5">
                      <a:tint val="86000"/>
                      <a:shade val="93000"/>
                      <a:satMod val="130000"/>
                    </a:schemeClr>
                  </a:gs>
                  <a:gs pos="100000">
                    <a:schemeClr val="accent5">
                      <a:tint val="86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2-6C29-4B3E-B11B-F29D6AE5E42E}"/>
              </c:ext>
            </c:extLst>
          </c:dPt>
          <c:dPt>
            <c:idx val="3"/>
            <c:bubble3D val="0"/>
            <c:spPr>
              <a:gradFill rotWithShape="1">
                <a:gsLst>
                  <a:gs pos="0">
                    <a:schemeClr val="accent5">
                      <a:tint val="58000"/>
                      <a:shade val="51000"/>
                      <a:satMod val="130000"/>
                    </a:schemeClr>
                  </a:gs>
                  <a:gs pos="80000">
                    <a:schemeClr val="accent5">
                      <a:tint val="58000"/>
                      <a:shade val="93000"/>
                      <a:satMod val="130000"/>
                    </a:schemeClr>
                  </a:gs>
                  <a:gs pos="100000">
                    <a:schemeClr val="accent5">
                      <a:tint val="58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6C29-4B3E-B11B-F29D6AE5E42E}"/>
              </c:ext>
            </c:extLst>
          </c:dPt>
          <c:dLbls>
            <c:dLbl>
              <c:idx val="0"/>
              <c:layout>
                <c:manualLayout>
                  <c:x val="9.4444444444444442E-2"/>
                  <c:y val="-3.70370370370370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C29-4B3E-B11B-F29D6AE5E42E}"/>
                </c:ext>
              </c:extLst>
            </c:dLbl>
            <c:dLbl>
              <c:idx val="1"/>
              <c:layout>
                <c:manualLayout>
                  <c:x val="0.16388888888888889"/>
                  <c:y val="-2.77777777777778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C29-4B3E-B11B-F29D6AE5E42E}"/>
                </c:ext>
              </c:extLst>
            </c:dLbl>
            <c:dLbl>
              <c:idx val="2"/>
              <c:layout>
                <c:manualLayout>
                  <c:x val="-0.10555555555555556"/>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C29-4B3E-B11B-F29D6AE5E42E}"/>
                </c:ext>
              </c:extLst>
            </c:dLbl>
            <c:dLbl>
              <c:idx val="3"/>
              <c:layout>
                <c:manualLayout>
                  <c:x val="-7.2222222222222243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C29-4B3E-B11B-F29D6AE5E42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Sheet4!$A$62:$A$66</c:f>
              <c:strCache>
                <c:ptCount val="4"/>
                <c:pt idx="0">
                  <c:v>Average</c:v>
                </c:pt>
                <c:pt idx="1">
                  <c:v>Below Average</c:v>
                </c:pt>
                <c:pt idx="2">
                  <c:v>Excellent</c:v>
                </c:pt>
                <c:pt idx="3">
                  <c:v>Good</c:v>
                </c:pt>
              </c:strCache>
            </c:strRef>
          </c:cat>
          <c:val>
            <c:numRef>
              <c:f>Sheet4!$B$62:$B$66</c:f>
              <c:numCache>
                <c:formatCode>General</c:formatCode>
                <c:ptCount val="4"/>
                <c:pt idx="0">
                  <c:v>216</c:v>
                </c:pt>
                <c:pt idx="1">
                  <c:v>6</c:v>
                </c:pt>
                <c:pt idx="2">
                  <c:v>40</c:v>
                </c:pt>
                <c:pt idx="3">
                  <c:v>338</c:v>
                </c:pt>
              </c:numCache>
            </c:numRef>
          </c:val>
          <c:extLst>
            <c:ext xmlns:c16="http://schemas.microsoft.com/office/drawing/2014/chart" uri="{C3380CC4-5D6E-409C-BE32-E72D297353CC}">
              <c16:uniqueId val="{00000000-6C29-4B3E-B11B-F29D6AE5E42E}"/>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[Student_Marks_600_Rows.xlsx]Sheet4!PivotTable6</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solidFill>
                  <a:srgbClr val="0070C0"/>
                </a:solidFill>
                <a:latin typeface="Segoe UI Semibold" panose="020B0702040204020203" pitchFamily="34" charset="0"/>
                <a:cs typeface="Segoe UI Semibold" panose="020B0702040204020203" pitchFamily="34" charset="0"/>
              </a:rPr>
              <a:t>Average Mark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3333333333333333E-2"/>
              <c:y val="8.79629629629628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8333333333333334E-2"/>
              <c:y val="-3.6453776615500703E-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Sheet4!$B$45</c:f>
              <c:strCache>
                <c:ptCount val="1"/>
                <c:pt idx="0">
                  <c:v>Total</c:v>
                </c:pt>
              </c:strCache>
            </c:strRef>
          </c:tx>
          <c:dPt>
            <c:idx val="0"/>
            <c:bubble3D val="0"/>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BF20-4922-9642-89E39E943FA7}"/>
              </c:ext>
            </c:extLst>
          </c:dPt>
          <c:dPt>
            <c:idx val="1"/>
            <c:bubble3D val="0"/>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F20-4922-9642-89E39E943FA7}"/>
              </c:ext>
            </c:extLst>
          </c:dPt>
          <c:dLbls>
            <c:dLbl>
              <c:idx val="0"/>
              <c:layout>
                <c:manualLayout>
                  <c:x val="3.3333333333333333E-2"/>
                  <c:y val="8.796296296296288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F20-4922-9642-89E39E943FA7}"/>
                </c:ext>
              </c:extLst>
            </c:dLbl>
            <c:dLbl>
              <c:idx val="1"/>
              <c:layout>
                <c:manualLayout>
                  <c:x val="-5.8333333333333334E-2"/>
                  <c:y val="-3.6453776615500703E-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F20-4922-9642-89E39E943FA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Sheet4!$A$46:$A$48</c:f>
              <c:strCache>
                <c:ptCount val="2"/>
                <c:pt idx="0">
                  <c:v>Female</c:v>
                </c:pt>
                <c:pt idx="1">
                  <c:v>Male</c:v>
                </c:pt>
              </c:strCache>
            </c:strRef>
          </c:cat>
          <c:val>
            <c:numRef>
              <c:f>Sheet4!$B$46:$B$48</c:f>
              <c:numCache>
                <c:formatCode>General</c:formatCode>
                <c:ptCount val="2"/>
                <c:pt idx="0">
                  <c:v>64.803311258278143</c:v>
                </c:pt>
                <c:pt idx="1">
                  <c:v>62.989932885906043</c:v>
                </c:pt>
              </c:numCache>
            </c:numRef>
          </c:val>
          <c:extLst>
            <c:ext xmlns:c16="http://schemas.microsoft.com/office/drawing/2014/chart" uri="{C3380CC4-5D6E-409C-BE32-E72D297353CC}">
              <c16:uniqueId val="{00000000-BF20-4922-9642-89E39E943FA7}"/>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[Student_Marks_600_Rows.xlsx]Sheet4!PivotTable4</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a:solidFill>
                  <a:schemeClr val="accent4">
                    <a:lumMod val="50000"/>
                  </a:schemeClr>
                </a:solidFill>
                <a:latin typeface="Segoe UI Semibold" panose="020B0702040204020203" pitchFamily="34" charset="0"/>
                <a:cs typeface="Segoe UI Semibold" panose="020B0702040204020203" pitchFamily="34" charset="0"/>
              </a:rPr>
              <a:t>Department Vs Average Percentage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solidFill>
              <a:schemeClr val="accent4"/>
            </a:solidFill>
            <a:ln w="9525" cap="flat" cmpd="sng" algn="ctr">
              <a:solidFill>
                <a:schemeClr val="accent4">
                  <a:shade val="95000"/>
                  <a:satMod val="105000"/>
                </a:schemeClr>
              </a:solidFill>
              <a:prstDash val="solid"/>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solidFill>
            <a:schemeClr val="accent4"/>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accent4"/>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solidFill>
            <a:schemeClr val="accent4"/>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chemeClr val="accent4"/>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chemeClr val="accent4"/>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solidFill>
            <a:schemeClr val="accent4"/>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solidFill>
            <a:schemeClr val="accent4"/>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chemeClr val="accent4"/>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solidFill>
            <a:schemeClr val="accent4"/>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
      </c:pivotFmt>
      <c:pivotFmt>
        <c:idx val="10"/>
        <c:spPr>
          <a:solidFill>
            <a:schemeClr val="accent4"/>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
      </c:pivotFmt>
      <c:pivotFmt>
        <c:idx val="11"/>
        <c:spPr>
          <a:solidFill>
            <a:schemeClr val="accent4"/>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9525" cap="flat" cmpd="sng" algn="ctr">
          <a:noFill/>
          <a:prstDash val="solid"/>
          <a:round/>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Sheet4!$B$3</c:f>
              <c:strCache>
                <c:ptCount val="1"/>
                <c:pt idx="0">
                  <c:v>Total</c:v>
                </c:pt>
              </c:strCache>
            </c:strRef>
          </c:tx>
          <c:spPr>
            <a:solidFill>
              <a:schemeClr val="accent4"/>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Sheet4!$A$4:$A$10</c:f>
              <c:strCache>
                <c:ptCount val="6"/>
                <c:pt idx="0">
                  <c:v>Business Administration</c:v>
                </c:pt>
                <c:pt idx="1">
                  <c:v>Commerce</c:v>
                </c:pt>
                <c:pt idx="2">
                  <c:v>Computer Science</c:v>
                </c:pt>
                <c:pt idx="3">
                  <c:v>Information Technology</c:v>
                </c:pt>
                <c:pt idx="4">
                  <c:v>Mathematics</c:v>
                </c:pt>
                <c:pt idx="5">
                  <c:v>Physics</c:v>
                </c:pt>
              </c:strCache>
            </c:strRef>
          </c:cat>
          <c:val>
            <c:numRef>
              <c:f>Sheet4!$B$4:$B$10</c:f>
              <c:numCache>
                <c:formatCode>General</c:formatCode>
                <c:ptCount val="6"/>
                <c:pt idx="0">
                  <c:v>81.8125</c:v>
                </c:pt>
                <c:pt idx="1">
                  <c:v>81.342592592592595</c:v>
                </c:pt>
                <c:pt idx="2">
                  <c:v>80.018018018018012</c:v>
                </c:pt>
                <c:pt idx="3">
                  <c:v>81.188679245283012</c:v>
                </c:pt>
                <c:pt idx="4">
                  <c:v>81.102040816326536</c:v>
                </c:pt>
                <c:pt idx="5">
                  <c:v>83.456790123456784</c:v>
                </c:pt>
              </c:numCache>
            </c:numRef>
          </c:val>
          <c:extLst>
            <c:ext xmlns:c16="http://schemas.microsoft.com/office/drawing/2014/chart" uri="{C3380CC4-5D6E-409C-BE32-E72D297353CC}">
              <c16:uniqueId val="{00000000-3964-4B24-A7BA-85E94D722102}"/>
            </c:ext>
          </c:extLst>
        </c:ser>
        <c:dLbls>
          <c:showLegendKey val="0"/>
          <c:showVal val="1"/>
          <c:showCatName val="0"/>
          <c:showSerName val="0"/>
          <c:showPercent val="0"/>
          <c:showBubbleSize val="0"/>
        </c:dLbls>
        <c:gapWidth val="150"/>
        <c:shape val="box"/>
        <c:axId val="1928315904"/>
        <c:axId val="1310479952"/>
        <c:axId val="0"/>
      </c:bar3DChart>
      <c:catAx>
        <c:axId val="19283159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310479952"/>
        <c:crosses val="autoZero"/>
        <c:auto val="1"/>
        <c:lblAlgn val="ctr"/>
        <c:lblOffset val="100"/>
        <c:noMultiLvlLbl val="0"/>
      </c:catAx>
      <c:valAx>
        <c:axId val="1310479952"/>
        <c:scaling>
          <c:orientation val="minMax"/>
        </c:scaling>
        <c:delete val="0"/>
        <c:axPos val="b"/>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928315904"/>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[Student_Marks_600_Rows.xlsx]Sheet4!PivotTable5</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a:solidFill>
                  <a:schemeClr val="accent4">
                    <a:lumMod val="50000"/>
                  </a:schemeClr>
                </a:solidFill>
                <a:latin typeface="Segoe UI Semibold" panose="020B0702040204020203" pitchFamily="34" charset="0"/>
                <a:cs typeface="Segoe UI Semibold" panose="020B0702040204020203" pitchFamily="34" charset="0"/>
              </a:rPr>
              <a:t>City</a:t>
            </a:r>
            <a:r>
              <a:rPr lang="en-IN" sz="1200" baseline="0">
                <a:solidFill>
                  <a:schemeClr val="accent4">
                    <a:lumMod val="50000"/>
                  </a:schemeClr>
                </a:solidFill>
                <a:latin typeface="Segoe UI Semibold" panose="020B0702040204020203" pitchFamily="34" charset="0"/>
                <a:cs typeface="Segoe UI Semibold" panose="020B0702040204020203" pitchFamily="34" charset="0"/>
              </a:rPr>
              <a:t> Wise Marks Analysis</a:t>
            </a:r>
            <a:endParaRPr lang="en-IN" sz="1200">
              <a:solidFill>
                <a:schemeClr val="accent4">
                  <a:lumMod val="50000"/>
                </a:schemeClr>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Sheet4!$B$28</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Sheet4!$A$29:$A$37</c:f>
              <c:strCache>
                <c:ptCount val="8"/>
                <c:pt idx="0">
                  <c:v>Chennai</c:v>
                </c:pt>
                <c:pt idx="1">
                  <c:v>Coimbatore</c:v>
                </c:pt>
                <c:pt idx="2">
                  <c:v>Erode</c:v>
                </c:pt>
                <c:pt idx="3">
                  <c:v>Karur</c:v>
                </c:pt>
                <c:pt idx="4">
                  <c:v>Madurai</c:v>
                </c:pt>
                <c:pt idx="5">
                  <c:v>Salem</c:v>
                </c:pt>
                <c:pt idx="6">
                  <c:v>Tiruppur</c:v>
                </c:pt>
                <c:pt idx="7">
                  <c:v>Trichy</c:v>
                </c:pt>
              </c:strCache>
            </c:strRef>
          </c:cat>
          <c:val>
            <c:numRef>
              <c:f>Sheet4!$B$29:$B$37</c:f>
              <c:numCache>
                <c:formatCode>General</c:formatCode>
                <c:ptCount val="8"/>
                <c:pt idx="0">
                  <c:v>23978</c:v>
                </c:pt>
                <c:pt idx="1">
                  <c:v>25277</c:v>
                </c:pt>
                <c:pt idx="2">
                  <c:v>23641</c:v>
                </c:pt>
                <c:pt idx="3">
                  <c:v>25505</c:v>
                </c:pt>
                <c:pt idx="4">
                  <c:v>27182</c:v>
                </c:pt>
                <c:pt idx="5">
                  <c:v>23024</c:v>
                </c:pt>
                <c:pt idx="6">
                  <c:v>24440</c:v>
                </c:pt>
                <c:pt idx="7">
                  <c:v>18661</c:v>
                </c:pt>
              </c:numCache>
            </c:numRef>
          </c:val>
          <c:extLst>
            <c:ext xmlns:c16="http://schemas.microsoft.com/office/drawing/2014/chart" uri="{C3380CC4-5D6E-409C-BE32-E72D297353CC}">
              <c16:uniqueId val="{00000000-3845-4417-A370-A67E0DF34340}"/>
            </c:ext>
          </c:extLst>
        </c:ser>
        <c:dLbls>
          <c:showLegendKey val="0"/>
          <c:showVal val="1"/>
          <c:showCatName val="0"/>
          <c:showSerName val="0"/>
          <c:showPercent val="0"/>
          <c:showBubbleSize val="0"/>
        </c:dLbls>
        <c:gapWidth val="150"/>
        <c:shape val="box"/>
        <c:axId val="2089605712"/>
        <c:axId val="1310467472"/>
        <c:axId val="0"/>
      </c:bar3DChart>
      <c:catAx>
        <c:axId val="20896057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310467472"/>
        <c:crosses val="autoZero"/>
        <c:auto val="1"/>
        <c:lblAlgn val="ctr"/>
        <c:lblOffset val="100"/>
        <c:noMultiLvlLbl val="0"/>
      </c:catAx>
      <c:valAx>
        <c:axId val="13104674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208960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[Student_Marks_600_Rows.xlsx]Sheet4!PivotTable6</c:name>
    <c:fmtId val="2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solidFill>
                  <a:schemeClr val="accent4">
                    <a:lumMod val="50000"/>
                  </a:schemeClr>
                </a:solidFill>
                <a:latin typeface="Segoe UI Semibold" panose="020B0702040204020203" pitchFamily="34" charset="0"/>
                <a:cs typeface="Segoe UI Semibold" panose="020B0702040204020203" pitchFamily="34" charset="0"/>
              </a:rPr>
              <a:t>Average Mark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3333333333333333E-2"/>
              <c:y val="8.79629629629628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8333333333333334E-2"/>
              <c:y val="-3.6453776615500703E-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3333333333333333E-2"/>
              <c:y val="8.79629629629628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8333333333333334E-2"/>
              <c:y val="-3.6453776615500703E-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3333333333333333E-2"/>
              <c:y val="8.79629629629628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8333333333333334E-2"/>
              <c:y val="-3.6453776615500703E-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Sheet4!$B$45</c:f>
              <c:strCache>
                <c:ptCount val="1"/>
                <c:pt idx="0">
                  <c:v>Total</c:v>
                </c:pt>
              </c:strCache>
            </c:strRef>
          </c:tx>
          <c:dPt>
            <c:idx val="0"/>
            <c:bubble3D val="0"/>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29B-4BBF-8A56-781C9C76B7D8}"/>
              </c:ext>
            </c:extLst>
          </c:dPt>
          <c:dPt>
            <c:idx val="1"/>
            <c:bubble3D val="0"/>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29B-4BBF-8A56-781C9C76B7D8}"/>
              </c:ext>
            </c:extLst>
          </c:dPt>
          <c:dLbls>
            <c:dLbl>
              <c:idx val="0"/>
              <c:layout>
                <c:manualLayout>
                  <c:x val="3.3333333333333333E-2"/>
                  <c:y val="8.796296296296288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29B-4BBF-8A56-781C9C76B7D8}"/>
                </c:ext>
              </c:extLst>
            </c:dLbl>
            <c:dLbl>
              <c:idx val="1"/>
              <c:layout>
                <c:manualLayout>
                  <c:x val="-5.8333333333333334E-2"/>
                  <c:y val="-3.6453776615500703E-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29B-4BBF-8A56-781C9C76B7D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Sheet4!$A$46:$A$48</c:f>
              <c:strCache>
                <c:ptCount val="2"/>
                <c:pt idx="0">
                  <c:v>Female</c:v>
                </c:pt>
                <c:pt idx="1">
                  <c:v>Male</c:v>
                </c:pt>
              </c:strCache>
            </c:strRef>
          </c:cat>
          <c:val>
            <c:numRef>
              <c:f>Sheet4!$B$46:$B$48</c:f>
              <c:numCache>
                <c:formatCode>General</c:formatCode>
                <c:ptCount val="2"/>
                <c:pt idx="0">
                  <c:v>64.803311258278143</c:v>
                </c:pt>
                <c:pt idx="1">
                  <c:v>62.989932885906043</c:v>
                </c:pt>
              </c:numCache>
            </c:numRef>
          </c:val>
          <c:extLst>
            <c:ext xmlns:c16="http://schemas.microsoft.com/office/drawing/2014/chart" uri="{C3380CC4-5D6E-409C-BE32-E72D297353CC}">
              <c16:uniqueId val="{00000004-729B-4BBF-8A56-781C9C76B7D8}"/>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[Student_Marks_600_Rows.xlsx]Sheet4!PivotTable1</c:name>
    <c:fmtId val="2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solidFill>
                  <a:schemeClr val="accent4">
                    <a:lumMod val="50000"/>
                  </a:schemeClr>
                </a:solidFill>
                <a:latin typeface="Segoe UI Semibold" panose="020B0702040204020203" pitchFamily="34" charset="0"/>
                <a:cs typeface="Segoe UI Semibold" panose="020B0702040204020203" pitchFamily="34" charset="0"/>
              </a:rPr>
              <a:t>FeedBack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555555555555556"/>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6388888888888889"/>
              <c:y val="-2.77777777777778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9.4444444444444442E-2"/>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7.2222222222222243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9.4444444444444442E-2"/>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6388888888888889"/>
              <c:y val="-2.77777777777778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555555555555556"/>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7.2222222222222243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9.4444444444444442E-2"/>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6388888888888889"/>
              <c:y val="-2.77777777777778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555555555555556"/>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7.2222222222222243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Sheet4!$B$61</c:f>
              <c:strCache>
                <c:ptCount val="1"/>
                <c:pt idx="0">
                  <c:v>Total</c:v>
                </c:pt>
              </c:strCache>
            </c:strRef>
          </c:tx>
          <c:dPt>
            <c:idx val="0"/>
            <c:bubble3D val="0"/>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8FBF-4016-A111-484A78E0DB16}"/>
              </c:ext>
            </c:extLst>
          </c:dPt>
          <c:dPt>
            <c:idx val="1"/>
            <c:bubble3D val="0"/>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8FBF-4016-A111-484A78E0DB16}"/>
              </c:ext>
            </c:extLst>
          </c:dPt>
          <c:dPt>
            <c:idx val="2"/>
            <c:bubble3D val="0"/>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8FBF-4016-A111-484A78E0DB16}"/>
              </c:ext>
            </c:extLst>
          </c:dPt>
          <c:dPt>
            <c:idx val="3"/>
            <c:bubble3D val="0"/>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8FBF-4016-A111-484A78E0DB16}"/>
              </c:ext>
            </c:extLst>
          </c:dPt>
          <c:dLbls>
            <c:dLbl>
              <c:idx val="0"/>
              <c:layout>
                <c:manualLayout>
                  <c:x val="9.4444444444444442E-2"/>
                  <c:y val="-3.70370370370370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FBF-4016-A111-484A78E0DB16}"/>
                </c:ext>
              </c:extLst>
            </c:dLbl>
            <c:dLbl>
              <c:idx val="1"/>
              <c:layout>
                <c:manualLayout>
                  <c:x val="0.16388888888888889"/>
                  <c:y val="-2.77777777777778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FBF-4016-A111-484A78E0DB16}"/>
                </c:ext>
              </c:extLst>
            </c:dLbl>
            <c:dLbl>
              <c:idx val="2"/>
              <c:layout>
                <c:manualLayout>
                  <c:x val="-0.10555555555555556"/>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FBF-4016-A111-484A78E0DB16}"/>
                </c:ext>
              </c:extLst>
            </c:dLbl>
            <c:dLbl>
              <c:idx val="3"/>
              <c:layout>
                <c:manualLayout>
                  <c:x val="-7.2222222222222243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FBF-4016-A111-484A78E0DB1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Sheet4!$A$62:$A$66</c:f>
              <c:strCache>
                <c:ptCount val="4"/>
                <c:pt idx="0">
                  <c:v>Average</c:v>
                </c:pt>
                <c:pt idx="1">
                  <c:v>Below Average</c:v>
                </c:pt>
                <c:pt idx="2">
                  <c:v>Excellent</c:v>
                </c:pt>
                <c:pt idx="3">
                  <c:v>Good</c:v>
                </c:pt>
              </c:strCache>
            </c:strRef>
          </c:cat>
          <c:val>
            <c:numRef>
              <c:f>Sheet4!$B$62:$B$66</c:f>
              <c:numCache>
                <c:formatCode>General</c:formatCode>
                <c:ptCount val="4"/>
                <c:pt idx="0">
                  <c:v>216</c:v>
                </c:pt>
                <c:pt idx="1">
                  <c:v>6</c:v>
                </c:pt>
                <c:pt idx="2">
                  <c:v>40</c:v>
                </c:pt>
                <c:pt idx="3">
                  <c:v>338</c:v>
                </c:pt>
              </c:numCache>
            </c:numRef>
          </c:val>
          <c:extLst>
            <c:ext xmlns:c16="http://schemas.microsoft.com/office/drawing/2014/chart" uri="{C3380CC4-5D6E-409C-BE32-E72D297353CC}">
              <c16:uniqueId val="{00000008-8FBF-4016-A111-484A78E0DB16}"/>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107">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68580</xdr:colOff>
      <xdr:row>10</xdr:row>
      <xdr:rowOff>144780</xdr:rowOff>
    </xdr:from>
    <xdr:to>
      <xdr:col>10</xdr:col>
      <xdr:colOff>373380</xdr:colOff>
      <xdr:row>25</xdr:row>
      <xdr:rowOff>144780</xdr:rowOff>
    </xdr:to>
    <xdr:graphicFrame macro="">
      <xdr:nvGraphicFramePr>
        <xdr:cNvPr id="2" name="Chart 1">
          <a:extLst>
            <a:ext uri="{FF2B5EF4-FFF2-40B4-BE49-F238E27FC236}">
              <a16:creationId xmlns:a16="http://schemas.microsoft.com/office/drawing/2014/main" id="{AF2ED315-00B9-52D4-7D9B-371CFFA40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68580</xdr:colOff>
      <xdr:row>26</xdr:row>
      <xdr:rowOff>83820</xdr:rowOff>
    </xdr:from>
    <xdr:to>
      <xdr:col>10</xdr:col>
      <xdr:colOff>373380</xdr:colOff>
      <xdr:row>41</xdr:row>
      <xdr:rowOff>83820</xdr:rowOff>
    </xdr:to>
    <xdr:graphicFrame macro="">
      <xdr:nvGraphicFramePr>
        <xdr:cNvPr id="3" name="Chart 2">
          <a:extLst>
            <a:ext uri="{FF2B5EF4-FFF2-40B4-BE49-F238E27FC236}">
              <a16:creationId xmlns:a16="http://schemas.microsoft.com/office/drawing/2014/main" id="{3B0E5C3F-9180-A824-E8BE-1EDB1567CE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76200</xdr:colOff>
      <xdr:row>58</xdr:row>
      <xdr:rowOff>15240</xdr:rowOff>
    </xdr:from>
    <xdr:to>
      <xdr:col>7</xdr:col>
      <xdr:colOff>259080</xdr:colOff>
      <xdr:row>73</xdr:row>
      <xdr:rowOff>15240</xdr:rowOff>
    </xdr:to>
    <xdr:graphicFrame macro="">
      <xdr:nvGraphicFramePr>
        <xdr:cNvPr id="5" name="Chart 4">
          <a:extLst>
            <a:ext uri="{FF2B5EF4-FFF2-40B4-BE49-F238E27FC236}">
              <a16:creationId xmlns:a16="http://schemas.microsoft.com/office/drawing/2014/main" id="{63DE965B-7197-A44F-A5E9-95E27F224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419100</xdr:colOff>
      <xdr:row>58</xdr:row>
      <xdr:rowOff>91440</xdr:rowOff>
    </xdr:from>
    <xdr:to>
      <xdr:col>13</xdr:col>
      <xdr:colOff>419100</xdr:colOff>
      <xdr:row>71</xdr:row>
      <xdr:rowOff>180975</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EE8208A4-2787-FAD6-01E9-A54D97FF0FC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420100" y="10698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365760</xdr:colOff>
      <xdr:row>46</xdr:row>
      <xdr:rowOff>76201</xdr:rowOff>
    </xdr:from>
    <xdr:to>
      <xdr:col>13</xdr:col>
      <xdr:colOff>365760</xdr:colOff>
      <xdr:row>57</xdr:row>
      <xdr:rowOff>114301</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78DC0BF0-758D-B4AE-BC8B-EA15A0EC65A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366760" y="8488681"/>
              <a:ext cx="1828800" cy="2049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1097280</xdr:colOff>
      <xdr:row>42</xdr:row>
      <xdr:rowOff>83820</xdr:rowOff>
    </xdr:from>
    <xdr:to>
      <xdr:col>9</xdr:col>
      <xdr:colOff>350520</xdr:colOff>
      <xdr:row>57</xdr:row>
      <xdr:rowOff>83820</xdr:rowOff>
    </xdr:to>
    <xdr:graphicFrame macro="">
      <xdr:nvGraphicFramePr>
        <xdr:cNvPr id="8" name="Chart 7">
          <a:extLst>
            <a:ext uri="{FF2B5EF4-FFF2-40B4-BE49-F238E27FC236}">
              <a16:creationId xmlns:a16="http://schemas.microsoft.com/office/drawing/2014/main" id="{17C9008A-0C74-B750-ADC3-476B0916A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0</xdr:row>
      <xdr:rowOff>144780</xdr:rowOff>
    </xdr:from>
    <xdr:to>
      <xdr:col>14</xdr:col>
      <xdr:colOff>571500</xdr:colOff>
      <xdr:row>3</xdr:row>
      <xdr:rowOff>53340</xdr:rowOff>
    </xdr:to>
    <xdr:sp macro="" textlink="">
      <xdr:nvSpPr>
        <xdr:cNvPr id="7" name="TextBox 6">
          <a:extLst>
            <a:ext uri="{FF2B5EF4-FFF2-40B4-BE49-F238E27FC236}">
              <a16:creationId xmlns:a16="http://schemas.microsoft.com/office/drawing/2014/main" id="{61A76995-621A-8A9E-73FA-1EBEBFA8FD0A}"/>
            </a:ext>
          </a:extLst>
        </xdr:cNvPr>
        <xdr:cNvSpPr txBox="1"/>
      </xdr:nvSpPr>
      <xdr:spPr>
        <a:xfrm>
          <a:off x="228600" y="144780"/>
          <a:ext cx="8877300" cy="457200"/>
        </a:xfrm>
        <a:prstGeom prst="round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chemeClr val="accent4">
                  <a:lumMod val="50000"/>
                </a:schemeClr>
              </a:solidFill>
            </a:rPr>
            <a:t>Student Performance Dashboard Analysis</a:t>
          </a:r>
        </a:p>
      </xdr:txBody>
    </xdr:sp>
    <xdr:clientData/>
  </xdr:twoCellAnchor>
  <xdr:twoCellAnchor>
    <xdr:from>
      <xdr:col>0</xdr:col>
      <xdr:colOff>251460</xdr:colOff>
      <xdr:row>4</xdr:row>
      <xdr:rowOff>129540</xdr:rowOff>
    </xdr:from>
    <xdr:to>
      <xdr:col>3</xdr:col>
      <xdr:colOff>243840</xdr:colOff>
      <xdr:row>8</xdr:row>
      <xdr:rowOff>15240</xdr:rowOff>
    </xdr:to>
    <xdr:sp macro="" textlink="Sheet4!A78:B78">
      <xdr:nvSpPr>
        <xdr:cNvPr id="9" name="Rectangle: Rounded Corners 8">
          <a:extLst>
            <a:ext uri="{FF2B5EF4-FFF2-40B4-BE49-F238E27FC236}">
              <a16:creationId xmlns:a16="http://schemas.microsoft.com/office/drawing/2014/main" id="{9061CDCC-0EC4-FF55-56D8-8002A9194398}"/>
            </a:ext>
          </a:extLst>
        </xdr:cNvPr>
        <xdr:cNvSpPr/>
      </xdr:nvSpPr>
      <xdr:spPr>
        <a:xfrm>
          <a:off x="251460" y="861060"/>
          <a:ext cx="1821180" cy="617220"/>
        </a:xfrm>
        <a:prstGeom prst="roundRect">
          <a:avLst/>
        </a:prstGeom>
        <a:solidFill>
          <a:schemeClr val="accent4">
            <a:lumMod val="20000"/>
            <a:lumOff val="80000"/>
          </a:schemeClr>
        </a:solidFill>
        <a:ln>
          <a:solidFill>
            <a:schemeClr val="accent4">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898BAC1-6828-48DD-B8CD-0E2F7070FD5B}" type="TxLink">
            <a:rPr lang="en-US" sz="1100" b="1" i="0" u="none" strike="noStrike">
              <a:solidFill>
                <a:srgbClr val="000000"/>
              </a:solidFill>
              <a:latin typeface="Calibri"/>
              <a:ea typeface="Calibri"/>
              <a:cs typeface="Calibri"/>
            </a:rPr>
            <a:pPr algn="ctr"/>
            <a:t>600</a:t>
          </a:fld>
          <a:endParaRPr lang="en-IN" sz="1100" b="1"/>
        </a:p>
      </xdr:txBody>
    </xdr:sp>
    <xdr:clientData/>
  </xdr:twoCellAnchor>
  <xdr:twoCellAnchor>
    <xdr:from>
      <xdr:col>10</xdr:col>
      <xdr:colOff>449580</xdr:colOff>
      <xdr:row>4</xdr:row>
      <xdr:rowOff>121920</xdr:rowOff>
    </xdr:from>
    <xdr:to>
      <xdr:col>13</xdr:col>
      <xdr:colOff>441960</xdr:colOff>
      <xdr:row>8</xdr:row>
      <xdr:rowOff>22860</xdr:rowOff>
    </xdr:to>
    <xdr:sp macro="" textlink="Sheet4!D78:E78">
      <xdr:nvSpPr>
        <xdr:cNvPr id="14" name="Rectangle: Rounded Corners 13">
          <a:extLst>
            <a:ext uri="{FF2B5EF4-FFF2-40B4-BE49-F238E27FC236}">
              <a16:creationId xmlns:a16="http://schemas.microsoft.com/office/drawing/2014/main" id="{A9FE21A2-A979-4350-8899-B1920A15CA3A}"/>
            </a:ext>
          </a:extLst>
        </xdr:cNvPr>
        <xdr:cNvSpPr/>
      </xdr:nvSpPr>
      <xdr:spPr>
        <a:xfrm>
          <a:off x="6545580" y="853440"/>
          <a:ext cx="1821180" cy="632460"/>
        </a:xfrm>
        <a:prstGeom prst="roundRect">
          <a:avLst/>
        </a:prstGeom>
        <a:solidFill>
          <a:schemeClr val="accent4">
            <a:lumMod val="20000"/>
            <a:lumOff val="80000"/>
          </a:schemeClr>
        </a:solidFill>
        <a:ln>
          <a:solidFill>
            <a:schemeClr val="accent4">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7BE9E4F-105E-4909-AC34-59927B0B7B01}" type="TxLink">
            <a:rPr lang="en-US" sz="1100" b="1" i="0" u="none" strike="noStrike">
              <a:solidFill>
                <a:srgbClr val="000000"/>
              </a:solidFill>
              <a:latin typeface="Calibri"/>
              <a:ea typeface="Calibri"/>
              <a:cs typeface="Calibri"/>
            </a:rPr>
            <a:pPr algn="ctr"/>
            <a:t>48835</a:t>
          </a:fld>
          <a:endParaRPr lang="en-IN" sz="1100" b="1"/>
        </a:p>
      </xdr:txBody>
    </xdr:sp>
    <xdr:clientData/>
  </xdr:twoCellAnchor>
  <xdr:twoCellAnchor>
    <xdr:from>
      <xdr:col>7</xdr:col>
      <xdr:colOff>167640</xdr:colOff>
      <xdr:row>4</xdr:row>
      <xdr:rowOff>121920</xdr:rowOff>
    </xdr:from>
    <xdr:to>
      <xdr:col>10</xdr:col>
      <xdr:colOff>160020</xdr:colOff>
      <xdr:row>8</xdr:row>
      <xdr:rowOff>15240</xdr:rowOff>
    </xdr:to>
    <xdr:sp macro="" textlink="Sheet4!C78:D78">
      <xdr:nvSpPr>
        <xdr:cNvPr id="15" name="Rectangle: Rounded Corners 14">
          <a:extLst>
            <a:ext uri="{FF2B5EF4-FFF2-40B4-BE49-F238E27FC236}">
              <a16:creationId xmlns:a16="http://schemas.microsoft.com/office/drawing/2014/main" id="{98015F80-FEC1-4F3F-9B92-28BE2F41A57F}"/>
            </a:ext>
          </a:extLst>
        </xdr:cNvPr>
        <xdr:cNvSpPr/>
      </xdr:nvSpPr>
      <xdr:spPr>
        <a:xfrm>
          <a:off x="4434840" y="853440"/>
          <a:ext cx="1821180" cy="624840"/>
        </a:xfrm>
        <a:prstGeom prst="roundRect">
          <a:avLst/>
        </a:prstGeom>
        <a:solidFill>
          <a:schemeClr val="accent4">
            <a:lumMod val="20000"/>
            <a:lumOff val="80000"/>
          </a:schemeClr>
        </a:solidFill>
        <a:ln>
          <a:solidFill>
            <a:schemeClr val="accent4">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DF4B3CE-48B5-49AC-B94C-06D92FFC0A92}" type="TxLink">
            <a:rPr lang="en-US" sz="1100" b="1" i="0" u="none" strike="noStrike">
              <a:solidFill>
                <a:srgbClr val="000000"/>
              </a:solidFill>
              <a:latin typeface="Calibri"/>
              <a:ea typeface="Calibri"/>
              <a:cs typeface="Calibri"/>
            </a:rPr>
            <a:pPr algn="ctr"/>
            <a:t>38341.6</a:t>
          </a:fld>
          <a:endParaRPr lang="en-IN" sz="1100" b="1"/>
        </a:p>
      </xdr:txBody>
    </xdr:sp>
    <xdr:clientData/>
  </xdr:twoCellAnchor>
  <xdr:twoCellAnchor>
    <xdr:from>
      <xdr:col>3</xdr:col>
      <xdr:colOff>525780</xdr:colOff>
      <xdr:row>4</xdr:row>
      <xdr:rowOff>121920</xdr:rowOff>
    </xdr:from>
    <xdr:to>
      <xdr:col>6</xdr:col>
      <xdr:colOff>518160</xdr:colOff>
      <xdr:row>8</xdr:row>
      <xdr:rowOff>22860</xdr:rowOff>
    </xdr:to>
    <xdr:sp macro="" textlink="Sheet4!B78:C78">
      <xdr:nvSpPr>
        <xdr:cNvPr id="16" name="Rectangle: Rounded Corners 15">
          <a:extLst>
            <a:ext uri="{FF2B5EF4-FFF2-40B4-BE49-F238E27FC236}">
              <a16:creationId xmlns:a16="http://schemas.microsoft.com/office/drawing/2014/main" id="{9FABCE13-C44A-450E-8F77-1B6765CA6E3D}"/>
            </a:ext>
          </a:extLst>
        </xdr:cNvPr>
        <xdr:cNvSpPr/>
      </xdr:nvSpPr>
      <xdr:spPr>
        <a:xfrm>
          <a:off x="2354580" y="853440"/>
          <a:ext cx="1821180" cy="632460"/>
        </a:xfrm>
        <a:prstGeom prst="roundRect">
          <a:avLst/>
        </a:prstGeom>
        <a:solidFill>
          <a:schemeClr val="accent4">
            <a:lumMod val="20000"/>
            <a:lumOff val="80000"/>
          </a:schemeClr>
        </a:solidFill>
        <a:ln>
          <a:solidFill>
            <a:schemeClr val="accent4">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1028240-D77F-4EBE-9F62-ACD9CE79096B}" type="TxLink">
            <a:rPr lang="en-US" sz="1100" b="1" i="0" u="none" strike="noStrike">
              <a:solidFill>
                <a:srgbClr val="000000"/>
              </a:solidFill>
              <a:latin typeface="Calibri"/>
              <a:ea typeface="Calibri"/>
              <a:cs typeface="Calibri"/>
            </a:rPr>
            <a:pPr algn="ctr"/>
            <a:t>191708</a:t>
          </a:fld>
          <a:endParaRPr lang="en-IN" sz="1100" b="1"/>
        </a:p>
      </xdr:txBody>
    </xdr:sp>
    <xdr:clientData/>
  </xdr:twoCellAnchor>
  <xdr:twoCellAnchor>
    <xdr:from>
      <xdr:col>0</xdr:col>
      <xdr:colOff>396240</xdr:colOff>
      <xdr:row>6</xdr:row>
      <xdr:rowOff>22860</xdr:rowOff>
    </xdr:from>
    <xdr:to>
      <xdr:col>3</xdr:col>
      <xdr:colOff>121920</xdr:colOff>
      <xdr:row>7</xdr:row>
      <xdr:rowOff>83820</xdr:rowOff>
    </xdr:to>
    <xdr:sp macro="" textlink="">
      <xdr:nvSpPr>
        <xdr:cNvPr id="17" name="TextBox 16">
          <a:extLst>
            <a:ext uri="{FF2B5EF4-FFF2-40B4-BE49-F238E27FC236}">
              <a16:creationId xmlns:a16="http://schemas.microsoft.com/office/drawing/2014/main" id="{01298463-B32D-D750-74C7-49F613C8F27F}"/>
            </a:ext>
          </a:extLst>
        </xdr:cNvPr>
        <xdr:cNvSpPr txBox="1"/>
      </xdr:nvSpPr>
      <xdr:spPr>
        <a:xfrm>
          <a:off x="396240" y="1120140"/>
          <a:ext cx="1554480" cy="243840"/>
        </a:xfrm>
        <a:prstGeom prst="rect">
          <a:avLst/>
        </a:prstGeom>
        <a:solidFill>
          <a:schemeClr val="accent4">
            <a:lumMod val="20000"/>
            <a:lumOff val="80000"/>
          </a:schemeClr>
        </a:solidFill>
        <a:ln w="9525" cmpd="sng">
          <a:solidFill>
            <a:schemeClr val="accent4">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accent4">
                  <a:lumMod val="50000"/>
                </a:schemeClr>
              </a:solidFill>
              <a:latin typeface="Segoe UI Semibold" panose="020B0702040204020203" pitchFamily="34" charset="0"/>
              <a:cs typeface="Segoe UI Semibold" panose="020B0702040204020203" pitchFamily="34" charset="0"/>
            </a:rPr>
            <a:t>Total Student</a:t>
          </a:r>
        </a:p>
      </xdr:txBody>
    </xdr:sp>
    <xdr:clientData/>
  </xdr:twoCellAnchor>
  <xdr:twoCellAnchor>
    <xdr:from>
      <xdr:col>4</xdr:col>
      <xdr:colOff>83820</xdr:colOff>
      <xdr:row>6</xdr:row>
      <xdr:rowOff>45720</xdr:rowOff>
    </xdr:from>
    <xdr:to>
      <xdr:col>6</xdr:col>
      <xdr:colOff>320040</xdr:colOff>
      <xdr:row>7</xdr:row>
      <xdr:rowOff>91440</xdr:rowOff>
    </xdr:to>
    <xdr:sp macro="" textlink="">
      <xdr:nvSpPr>
        <xdr:cNvPr id="18" name="TextBox 17">
          <a:extLst>
            <a:ext uri="{FF2B5EF4-FFF2-40B4-BE49-F238E27FC236}">
              <a16:creationId xmlns:a16="http://schemas.microsoft.com/office/drawing/2014/main" id="{F41A8470-C9A5-18F9-4798-E3EE05DF5682}"/>
            </a:ext>
          </a:extLst>
        </xdr:cNvPr>
        <xdr:cNvSpPr txBox="1"/>
      </xdr:nvSpPr>
      <xdr:spPr>
        <a:xfrm>
          <a:off x="2522220" y="1143000"/>
          <a:ext cx="1455420" cy="228600"/>
        </a:xfrm>
        <a:prstGeom prst="rect">
          <a:avLst/>
        </a:prstGeom>
        <a:solidFill>
          <a:schemeClr val="accent4">
            <a:lumMod val="20000"/>
            <a:lumOff val="80000"/>
          </a:schemeClr>
        </a:solidFill>
        <a:ln w="9525" cmpd="sng">
          <a:solidFill>
            <a:schemeClr val="accent4">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latin typeface="Segoe UI Semibold" panose="020B0702040204020203" pitchFamily="34" charset="0"/>
              <a:cs typeface="Segoe UI Semibold" panose="020B0702040204020203" pitchFamily="34" charset="0"/>
            </a:rPr>
            <a:t>Total Marks</a:t>
          </a:r>
        </a:p>
      </xdr:txBody>
    </xdr:sp>
    <xdr:clientData/>
  </xdr:twoCellAnchor>
  <xdr:twoCellAnchor>
    <xdr:from>
      <xdr:col>7</xdr:col>
      <xdr:colOff>373380</xdr:colOff>
      <xdr:row>6</xdr:row>
      <xdr:rowOff>38100</xdr:rowOff>
    </xdr:from>
    <xdr:to>
      <xdr:col>10</xdr:col>
      <xdr:colOff>68580</xdr:colOff>
      <xdr:row>7</xdr:row>
      <xdr:rowOff>76200</xdr:rowOff>
    </xdr:to>
    <xdr:sp macro="" textlink="">
      <xdr:nvSpPr>
        <xdr:cNvPr id="19" name="TextBox 18">
          <a:extLst>
            <a:ext uri="{FF2B5EF4-FFF2-40B4-BE49-F238E27FC236}">
              <a16:creationId xmlns:a16="http://schemas.microsoft.com/office/drawing/2014/main" id="{EB491EC0-2959-4FA6-A0BB-9AC641BE6B41}"/>
            </a:ext>
          </a:extLst>
        </xdr:cNvPr>
        <xdr:cNvSpPr txBox="1"/>
      </xdr:nvSpPr>
      <xdr:spPr>
        <a:xfrm>
          <a:off x="4640580" y="1135380"/>
          <a:ext cx="1524000" cy="220980"/>
        </a:xfrm>
        <a:prstGeom prst="rect">
          <a:avLst/>
        </a:prstGeom>
        <a:solidFill>
          <a:schemeClr val="accent4">
            <a:lumMod val="20000"/>
            <a:lumOff val="80000"/>
          </a:schemeClr>
        </a:solidFill>
        <a:ln w="9525" cmpd="sng">
          <a:solidFill>
            <a:schemeClr val="accent4">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latin typeface="Segoe UI Semibold" panose="020B0702040204020203" pitchFamily="34" charset="0"/>
              <a:cs typeface="Segoe UI Semibold" panose="020B0702040204020203" pitchFamily="34" charset="0"/>
            </a:rPr>
            <a:t>Average Marks</a:t>
          </a:r>
        </a:p>
      </xdr:txBody>
    </xdr:sp>
    <xdr:clientData/>
  </xdr:twoCellAnchor>
  <xdr:twoCellAnchor>
    <xdr:from>
      <xdr:col>11</xdr:col>
      <xdr:colOff>76200</xdr:colOff>
      <xdr:row>6</xdr:row>
      <xdr:rowOff>38100</xdr:rowOff>
    </xdr:from>
    <xdr:to>
      <xdr:col>13</xdr:col>
      <xdr:colOff>358140</xdr:colOff>
      <xdr:row>7</xdr:row>
      <xdr:rowOff>45720</xdr:rowOff>
    </xdr:to>
    <xdr:sp macro="" textlink="">
      <xdr:nvSpPr>
        <xdr:cNvPr id="20" name="TextBox 19">
          <a:extLst>
            <a:ext uri="{FF2B5EF4-FFF2-40B4-BE49-F238E27FC236}">
              <a16:creationId xmlns:a16="http://schemas.microsoft.com/office/drawing/2014/main" id="{49DA4E3D-B70C-8375-32D2-8DC7155439E9}"/>
            </a:ext>
          </a:extLst>
        </xdr:cNvPr>
        <xdr:cNvSpPr txBox="1"/>
      </xdr:nvSpPr>
      <xdr:spPr>
        <a:xfrm>
          <a:off x="6781800" y="1135380"/>
          <a:ext cx="1501140" cy="190500"/>
        </a:xfrm>
        <a:prstGeom prst="rect">
          <a:avLst/>
        </a:prstGeom>
        <a:solidFill>
          <a:schemeClr val="accent4">
            <a:lumMod val="20000"/>
            <a:lumOff val="80000"/>
          </a:schemeClr>
        </a:solidFill>
        <a:ln w="9525" cmpd="sng">
          <a:solidFill>
            <a:schemeClr val="accent4">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accent4">
                  <a:lumMod val="50000"/>
                </a:schemeClr>
              </a:solidFill>
            </a:rPr>
            <a:t>Attendance Percentage</a:t>
          </a:r>
        </a:p>
      </xdr:txBody>
    </xdr:sp>
    <xdr:clientData/>
  </xdr:twoCellAnchor>
  <xdr:twoCellAnchor>
    <xdr:from>
      <xdr:col>0</xdr:col>
      <xdr:colOff>198120</xdr:colOff>
      <xdr:row>9</xdr:row>
      <xdr:rowOff>60960</xdr:rowOff>
    </xdr:from>
    <xdr:to>
      <xdr:col>7</xdr:col>
      <xdr:colOff>525780</xdr:colOff>
      <xdr:row>20</xdr:row>
      <xdr:rowOff>0</xdr:rowOff>
    </xdr:to>
    <xdr:graphicFrame macro="">
      <xdr:nvGraphicFramePr>
        <xdr:cNvPr id="21" name="Chart 20">
          <a:extLst>
            <a:ext uri="{FF2B5EF4-FFF2-40B4-BE49-F238E27FC236}">
              <a16:creationId xmlns:a16="http://schemas.microsoft.com/office/drawing/2014/main" id="{12B6C8A8-5471-41F8-AAD1-589A856A1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9</xdr:row>
      <xdr:rowOff>38100</xdr:rowOff>
    </xdr:from>
    <xdr:to>
      <xdr:col>14</xdr:col>
      <xdr:colOff>342900</xdr:colOff>
      <xdr:row>20</xdr:row>
      <xdr:rowOff>22860</xdr:rowOff>
    </xdr:to>
    <xdr:graphicFrame macro="">
      <xdr:nvGraphicFramePr>
        <xdr:cNvPr id="22" name="Chart 21">
          <a:extLst>
            <a:ext uri="{FF2B5EF4-FFF2-40B4-BE49-F238E27FC236}">
              <a16:creationId xmlns:a16="http://schemas.microsoft.com/office/drawing/2014/main" id="{8FCF395D-187A-48FE-99F1-93EA8ED7B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198120</xdr:colOff>
      <xdr:row>20</xdr:row>
      <xdr:rowOff>68580</xdr:rowOff>
    </xdr:from>
    <xdr:to>
      <xdr:col>7</xdr:col>
      <xdr:colOff>457200</xdr:colOff>
      <xdr:row>30</xdr:row>
      <xdr:rowOff>91440</xdr:rowOff>
    </xdr:to>
    <xdr:graphicFrame macro="">
      <xdr:nvGraphicFramePr>
        <xdr:cNvPr id="23" name="Chart 22">
          <a:extLst>
            <a:ext uri="{FF2B5EF4-FFF2-40B4-BE49-F238E27FC236}">
              <a16:creationId xmlns:a16="http://schemas.microsoft.com/office/drawing/2014/main" id="{CEB262AB-9028-4BDD-BFB2-2F0404927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586740</xdr:colOff>
      <xdr:row>20</xdr:row>
      <xdr:rowOff>106680</xdr:rowOff>
    </xdr:from>
    <xdr:to>
      <xdr:col>14</xdr:col>
      <xdr:colOff>358140</xdr:colOff>
      <xdr:row>30</xdr:row>
      <xdr:rowOff>106680</xdr:rowOff>
    </xdr:to>
    <xdr:graphicFrame macro="">
      <xdr:nvGraphicFramePr>
        <xdr:cNvPr id="24" name="Chart 23">
          <a:extLst>
            <a:ext uri="{FF2B5EF4-FFF2-40B4-BE49-F238E27FC236}">
              <a16:creationId xmlns:a16="http://schemas.microsoft.com/office/drawing/2014/main" id="{4E924C46-EAC5-4F73-9A30-E1CD5407E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60960</xdr:colOff>
      <xdr:row>12</xdr:row>
      <xdr:rowOff>60959</xdr:rowOff>
    </xdr:from>
    <xdr:to>
      <xdr:col>17</xdr:col>
      <xdr:colOff>594360</xdr:colOff>
      <xdr:row>26</xdr:row>
      <xdr:rowOff>91440</xdr:rowOff>
    </xdr:to>
    <mc:AlternateContent xmlns:mc="http://schemas.openxmlformats.org/markup-compatibility/2006">
      <mc:Choice xmlns:a14="http://schemas.microsoft.com/office/drawing/2010/main" Requires="a14">
        <xdr:graphicFrame macro="">
          <xdr:nvGraphicFramePr>
            <xdr:cNvPr id="25" name="City 1">
              <a:extLst>
                <a:ext uri="{FF2B5EF4-FFF2-40B4-BE49-F238E27FC236}">
                  <a16:creationId xmlns:a16="http://schemas.microsoft.com/office/drawing/2014/main" id="{A70269C7-2440-4E01-8527-E6409373549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9204960" y="2255519"/>
              <a:ext cx="1752600" cy="2590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76200</xdr:colOff>
      <xdr:row>0</xdr:row>
      <xdr:rowOff>144780</xdr:rowOff>
    </xdr:from>
    <xdr:to>
      <xdr:col>17</xdr:col>
      <xdr:colOff>571500</xdr:colOff>
      <xdr:row>12</xdr:row>
      <xdr:rowOff>0</xdr:rowOff>
    </xdr:to>
    <mc:AlternateContent xmlns:mc="http://schemas.openxmlformats.org/markup-compatibility/2006">
      <mc:Choice xmlns:a14="http://schemas.microsoft.com/office/drawing/2010/main" Requires="a14">
        <xdr:graphicFrame macro="">
          <xdr:nvGraphicFramePr>
            <xdr:cNvPr id="26" name="Department 1">
              <a:extLst>
                <a:ext uri="{FF2B5EF4-FFF2-40B4-BE49-F238E27FC236}">
                  <a16:creationId xmlns:a16="http://schemas.microsoft.com/office/drawing/2014/main" id="{06649ED7-C6FD-42EC-BCA0-E99DF2B6647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9220200" y="144780"/>
              <a:ext cx="1714500" cy="2049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ree N" refreshedDate="46283.789811226852" backgroundQuery="1" createdVersion="8" refreshedVersion="8" minRefreshableVersion="3" recordCount="0" supportSubquery="1" supportAdvancedDrill="1" xr:uid="{6DF61869-8CA2-4BBB-8AEB-23D4357956D4}">
  <cacheSource type="external" connectionId="1"/>
  <cacheFields count="3">
    <cacheField name="[Table1].[FeedBack].[FeedBack]" caption="FeedBack" numFmtId="0" hierarchy="33" level="1">
      <sharedItems count="4">
        <s v="Average"/>
        <s v="Below Average"/>
        <s v="Excellent"/>
        <s v="Good"/>
      </sharedItems>
    </cacheField>
    <cacheField name="[Measures].[Count of Student_ID 2]" caption="Count of Student_ID 2" numFmtId="0" hierarchy="61" level="32767"/>
    <cacheField name="[Table1].[Department].[Department]" caption="Department" numFmtId="0" hierarchy="21" level="1">
      <sharedItems containsSemiMixedTypes="0" containsNonDate="0" containsString="0"/>
    </cacheField>
  </cacheFields>
  <cacheHierarchies count="62">
    <cacheHierarchy uniqueName="[Range].[Student_ID]" caption="Student_ID" attribute="1" defaultMemberUniqueName="[Range].[Student_ID].[All]" allUniqueName="[Range].[Student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Attendance_Percentage]" caption="Attendance_Percentage" attribute="1" defaultMemberUniqueName="[Range].[Attendance_Percentage].[All]" allUniqueName="[Range].[Attendance_Percentage].[All]" dimensionUniqueName="[Range]" displayFolder="" count="0" memberValueDatatype="20" unbalanced="0"/>
    <cacheHierarchy uniqueName="[Range].[Study_Hours]" caption="Study_Hours" attribute="1" defaultMemberUniqueName="[Range].[Study_Hours].[All]" allUniqueName="[Range].[Study_Hours].[All]" dimensionUniqueName="[Range]" displayFolder="" count="0" memberValueDatatype="5" unbalanced="0"/>
    <cacheHierarchy uniqueName="[Range].[Math_Marks]" caption="Math_Marks" attribute="1" defaultMemberUniqueName="[Range].[Math_Marks].[All]" allUniqueName="[Range].[Math_Marks].[All]" dimensionUniqueName="[Range]" displayFolder="" count="0" memberValueDatatype="20" unbalanced="0"/>
    <cacheHierarchy uniqueName="[Range].[Science_Marks]" caption="Science_Marks" attribute="1" defaultMemberUniqueName="[Range].[Science_Marks].[All]" allUniqueName="[Range].[Science_Marks].[All]" dimensionUniqueName="[Range]" displayFolder="" count="0" memberValueDatatype="20" unbalanced="0"/>
    <cacheHierarchy uniqueName="[Range].[English_Marks]" caption="English_Marks" attribute="1" defaultMemberUniqueName="[Range].[English_Marks].[All]" allUniqueName="[Range].[English_Marks].[All]" dimensionUniqueName="[Range]" displayFolder="" count="0" memberValueDatatype="20" unbalanced="0"/>
    <cacheHierarchy uniqueName="[Range].[Computer_Marks]" caption="Computer_Marks" attribute="1" defaultMemberUniqueName="[Range].[Computer_Marks].[All]" allUniqueName="[Range].[Computer_Marks].[All]" dimensionUniqueName="[Range]" displayFolder="" count="0" memberValueDatatype="20" unbalanced="0"/>
    <cacheHierarchy uniqueName="[Range].[Social_Marks]" caption="Social_Marks" attribute="1" defaultMemberUniqueName="[Range].[Social_Marks].[All]" allUniqueName="[Range].[Social_Marks].[All]" dimensionUniqueName="[Range]" displayFolder="" count="0" memberValueDatatype="20" unbalanced="0"/>
    <cacheHierarchy uniqueName="[Range].[Total_Marks]" caption="Total_Marks" attribute="1" defaultMemberUniqueName="[Range].[Total_Marks].[All]" allUniqueName="[Range].[Total_Marks].[All]" dimensionUniqueName="[Range]" displayFolder="" count="0" memberValueDatatype="20" unbalanced="0"/>
    <cacheHierarchy uniqueName="[Range].[Average]" caption="Average" attribute="1" defaultMemberUniqueName="[Range].[Average].[All]" allUniqueName="[Range].[Average].[All]" dimensionUniqueName="[Range]" displayFolder="" count="0" memberValueDatatype="5" unbalanced="0"/>
    <cacheHierarchy uniqueName="[Range].[Performance]" caption="Performance" attribute="1" defaultMemberUniqueName="[Range].[Performance].[All]" allUniqueName="[Range].[Performance].[All]" dimensionUniqueName="[Range]" displayFolder="" count="0" memberValueDatatype="130" unbalanced="0"/>
    <cacheHierarchy uniqueName="[Range].[FeedBack]" caption="FeedBack" attribute="1" defaultMemberUniqueName="[Range].[FeedBack].[All]" allUniqueName="[Range].[FeedBack].[All]" dimensionUniqueName="[Range]" displayFolder="" count="0" memberValueDatatype="130" unbalanced="0"/>
    <cacheHierarchy uniqueName="[Table1].[Student_ID]" caption="Student_ID" attribute="1" defaultMemberUniqueName="[Table1].[Student_ID].[All]" allUniqueName="[Table1].[Student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2" memberValueDatatype="130" unbalanced="0"/>
    <cacheHierarchy uniqueName="[Table1].[Attendance_Percentage]" caption="Attendance_Percentage" attribute="1" defaultMemberUniqueName="[Table1].[Attendance_Percentage].[All]" allUniqueName="[Table1].[Attendance_Percentage].[All]" dimensionUniqueName="[Table1]" displayFolder="" count="0" memberValueDatatype="20" unbalanced="0"/>
    <cacheHierarchy uniqueName="[Table1].[Study_Hours]" caption="Study_Hours" attribute="1" defaultMemberUniqueName="[Table1].[Study_Hours].[All]" allUniqueName="[Table1].[Study_Hours].[All]" dimensionUniqueName="[Table1]" displayFolder="" count="0" memberValueDatatype="5" unbalanced="0"/>
    <cacheHierarchy uniqueName="[Table1].[Math_Marks]" caption="Math_Marks" attribute="1" defaultMemberUniqueName="[Table1].[Math_Marks].[All]" allUniqueName="[Table1].[Math_Marks].[All]" dimensionUniqueName="[Table1]" displayFolder="" count="0" memberValueDatatype="20" unbalanced="0"/>
    <cacheHierarchy uniqueName="[Table1].[Science_Marks]" caption="Science_Marks" attribute="1" defaultMemberUniqueName="[Table1].[Science_Marks].[All]" allUniqueName="[Table1].[Science_Marks].[All]" dimensionUniqueName="[Table1]" displayFolder="" count="0" memberValueDatatype="20" unbalanced="0"/>
    <cacheHierarchy uniqueName="[Table1].[English_Marks]" caption="English_Marks" attribute="1" defaultMemberUniqueName="[Table1].[English_Marks].[All]" allUniqueName="[Table1].[English_Marks].[All]" dimensionUniqueName="[Table1]" displayFolder="" count="0" memberValueDatatype="20" unbalanced="0"/>
    <cacheHierarchy uniqueName="[Table1].[Computer_Marks]" caption="Computer_Marks" attribute="1" defaultMemberUniqueName="[Table1].[Computer_Marks].[All]" allUniqueName="[Table1].[Computer_Marks].[All]" dimensionUniqueName="[Table1]" displayFolder="" count="0" memberValueDatatype="20" unbalanced="0"/>
    <cacheHierarchy uniqueName="[Table1].[Social_Marks]" caption="Social_Marks" attribute="1" defaultMemberUniqueName="[Table1].[Social_Marks].[All]" allUniqueName="[Table1].[Social_Marks].[All]" dimensionUniqueName="[Table1]" displayFolder="" count="0" memberValueDatatype="20" unbalanced="0"/>
    <cacheHierarchy uniqueName="[Table1].[Total_Marks]" caption="Total_Marks" attribute="1" defaultMemberUniqueName="[Table1].[Total_Marks].[All]" allUniqueName="[Table1].[Total_Marks].[All]" dimensionUniqueName="[Table1]" displayFolder="" count="0" memberValueDatatype="20" unbalanced="0"/>
    <cacheHierarchy uniqueName="[Table1].[Average]" caption="Average" attribute="1" defaultMemberUniqueName="[Table1].[Average].[All]" allUniqueName="[Table1].[Average].[All]" dimensionUniqueName="[Table1]" displayFolder="" count="0" memberValueDatatype="5" unbalanced="0"/>
    <cacheHierarchy uniqueName="[Table1].[Performance]" caption="Performance" attribute="1" defaultMemberUniqueName="[Table1].[Performance].[All]" allUniqueName="[Table1].[Performance].[All]" dimensionUniqueName="[Table1]" displayFolder="" count="0" memberValueDatatype="130" unbalanced="0"/>
    <cacheHierarchy uniqueName="[Table1].[FeedBack]" caption="FeedBack" attribute="1" defaultMemberUniqueName="[Table1].[FeedBack].[All]" allUniqueName="[Table1].[FeedBack].[All]" dimensionUniqueName="[Table1]" displayFolder="" count="2" memberValueDatatype="130" unbalanced="0">
      <fieldsUsage count="2">
        <fieldUsage x="-1"/>
        <fieldUsage x="0"/>
      </fieldsUsage>
    </cacheHierarchy>
    <cacheHierarchy uniqueName="[Table1  Study_Hours   FeedBack].[Study_Hours]" caption="Study_Hours" attribute="1" defaultMemberUniqueName="[Table1  Study_Hours   FeedBack].[Study_Hours].[All]" allUniqueName="[Table1  Study_Hours   FeedBack].[Study_Hours].[All]" dimensionUniqueName="[Table1  Study_Hours   FeedBack]" displayFolder="" count="0" memberValueDatatype="5" unbalanced="0"/>
    <cacheHierarchy uniqueName="[Table1  Study_Hours   FeedBack].[Math_Marks]" caption="Math_Marks" attribute="1" defaultMemberUniqueName="[Table1  Study_Hours   FeedBack].[Math_Marks].[All]" allUniqueName="[Table1  Study_Hours   FeedBack].[Math_Marks].[All]" dimensionUniqueName="[Table1  Study_Hours   FeedBack]" displayFolder="" count="0" memberValueDatatype="20" unbalanced="0"/>
    <cacheHierarchy uniqueName="[Table1  Study_Hours   FeedBack].[Science_Marks]" caption="Science_Marks" attribute="1" defaultMemberUniqueName="[Table1  Study_Hours   FeedBack].[Science_Marks].[All]" allUniqueName="[Table1  Study_Hours   FeedBack].[Science_Marks].[All]" dimensionUniqueName="[Table1  Study_Hours   FeedBack]" displayFolder="" count="0" memberValueDatatype="20" unbalanced="0"/>
    <cacheHierarchy uniqueName="[Table1  Study_Hours   FeedBack].[English_Marks]" caption="English_Marks" attribute="1" defaultMemberUniqueName="[Table1  Study_Hours   FeedBack].[English_Marks].[All]" allUniqueName="[Table1  Study_Hours   FeedBack].[English_Marks].[All]" dimensionUniqueName="[Table1  Study_Hours   FeedBack]" displayFolder="" count="0" memberValueDatatype="20" unbalanced="0"/>
    <cacheHierarchy uniqueName="[Table1  Study_Hours   FeedBack].[Computer_Marks]" caption="Computer_Marks" attribute="1" defaultMemberUniqueName="[Table1  Study_Hours   FeedBack].[Computer_Marks].[All]" allUniqueName="[Table1  Study_Hours   FeedBack].[Computer_Marks].[All]" dimensionUniqueName="[Table1  Study_Hours   FeedBack]" displayFolder="" count="0" memberValueDatatype="20" unbalanced="0"/>
    <cacheHierarchy uniqueName="[Table1  Study_Hours   FeedBack].[Social_Marks]" caption="Social_Marks" attribute="1" defaultMemberUniqueName="[Table1  Study_Hours   FeedBack].[Social_Marks].[All]" allUniqueName="[Table1  Study_Hours   FeedBack].[Social_Marks].[All]" dimensionUniqueName="[Table1  Study_Hours   FeedBack]" displayFolder="" count="0" memberValueDatatype="20" unbalanced="0"/>
    <cacheHierarchy uniqueName="[Table1  Study_Hours   FeedBack].[Total_Marks]" caption="Total_Marks" attribute="1" defaultMemberUniqueName="[Table1  Study_Hours   FeedBack].[Total_Marks].[All]" allUniqueName="[Table1  Study_Hours   FeedBack].[Total_Marks].[All]" dimensionUniqueName="[Table1  Study_Hours   FeedBack]" displayFolder="" count="0" memberValueDatatype="20" unbalanced="0"/>
    <cacheHierarchy uniqueName="[Table1  Study_Hours   FeedBack].[Average]" caption="Average" attribute="1" defaultMemberUniqueName="[Table1  Study_Hours   FeedBack].[Average].[All]" allUniqueName="[Table1  Study_Hours   FeedBack].[Average].[All]" dimensionUniqueName="[Table1  Study_Hours   FeedBack]" displayFolder="" count="0" memberValueDatatype="5" unbalanced="0"/>
    <cacheHierarchy uniqueName="[Table1  Study_Hours   FeedBack].[Performance]" caption="Performance" attribute="1" defaultMemberUniqueName="[Table1  Study_Hours   FeedBack].[Performance].[All]" allUniqueName="[Table1  Study_Hours   FeedBack].[Performance].[All]" dimensionUniqueName="[Table1  Study_Hours   FeedBack]" displayFolder="" count="0" memberValueDatatype="130" unbalanced="0"/>
    <cacheHierarchy uniqueName="[Table1  Study_Hours   FeedBack].[FeedBack]" caption="FeedBack" attribute="1" defaultMemberUniqueName="[Table1  Study_Hours   FeedBack].[FeedBack].[All]" allUniqueName="[Table1  Study_Hours   FeedBack].[FeedBack].[All]" dimensionUniqueName="[Table1  Study_Hours   FeedBack]" displayFolder="" count="0" memberValueDatatype="130" unbalanced="0"/>
    <cacheHierarchy uniqueName="[Measures].[__XL_Count Table1  Study_Hours   FeedBack]" caption="__XL_Count Table1  Study_Hours   FeedBack" measure="1" displayFolder="" measureGroup="Table1  Study_Hours   FeedBack" count="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tudent_ID]" caption="Distinct Count of Student_ID"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4"/>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5"/>
        </ext>
      </extLst>
    </cacheHierarchy>
    <cacheHierarchy uniqueName="[Measures].[Sum of Total_Marks]" caption="Sum of Total_Marks" measure="1" displayFolder="" measureGroup="Range" count="0" hidden="1">
      <extLst>
        <ext xmlns:x15="http://schemas.microsoft.com/office/spreadsheetml/2010/11/main" uri="{B97F6D7D-B522-45F9-BDA1-12C45D357490}">
          <x15:cacheHierarchy aggregatedColumn="13"/>
        </ext>
      </extLst>
    </cacheHierarchy>
    <cacheHierarchy uniqueName="[Measures].[Average of Total_Marks]" caption="Average of Total_Marks" measure="1" displayFolder="" measureGroup="Range" count="0" hidden="1">
      <extLst>
        <ext xmlns:x15="http://schemas.microsoft.com/office/spreadsheetml/2010/11/main" uri="{B97F6D7D-B522-45F9-BDA1-12C45D357490}">
          <x15:cacheHierarchy aggregatedColumn="13"/>
        </ext>
      </extLst>
    </cacheHierarchy>
    <cacheHierarchy uniqueName="[Measures].[Sum of Attendance_Percentage]" caption="Sum of Attendance_Percentage" measure="1" displayFolder="" measureGroup="Table1" count="0" hidden="1">
      <extLst>
        <ext xmlns:x15="http://schemas.microsoft.com/office/spreadsheetml/2010/11/main" uri="{B97F6D7D-B522-45F9-BDA1-12C45D357490}">
          <x15:cacheHierarchy aggregatedColumn="23"/>
        </ext>
      </extLst>
    </cacheHierarchy>
    <cacheHierarchy uniqueName="[Measures].[Average of Attendance_Percentage]" caption="Average of Attendance_Percentage" measure="1" displayFolder="" measureGroup="Table1" count="0" hidden="1">
      <extLst>
        <ext xmlns:x15="http://schemas.microsoft.com/office/spreadsheetml/2010/11/main" uri="{B97F6D7D-B522-45F9-BDA1-12C45D357490}">
          <x15:cacheHierarchy aggregatedColumn="23"/>
        </ext>
      </extLst>
    </cacheHierarchy>
    <cacheHierarchy uniqueName="[Measures].[Sum of Total_Marks 2]" caption="Sum of Total_Marks 2" measure="1" displayFolder="" measureGroup="Table1" count="0" hidden="1">
      <extLst>
        <ext xmlns:x15="http://schemas.microsoft.com/office/spreadsheetml/2010/11/main" uri="{B97F6D7D-B522-45F9-BDA1-12C45D357490}">
          <x15:cacheHierarchy aggregatedColumn="30"/>
        </ext>
      </extLst>
    </cacheHierarchy>
    <cacheHierarchy uniqueName="[Measures].[Sum of Average]" caption="Sum of Average" measure="1" displayFolder="" measureGroup="Table1" count="0" hidden="1">
      <extLst>
        <ext xmlns:x15="http://schemas.microsoft.com/office/spreadsheetml/2010/11/main" uri="{B97F6D7D-B522-45F9-BDA1-12C45D357490}">
          <x15:cacheHierarchy aggregatedColumn="31"/>
        </ext>
      </extLst>
    </cacheHierarchy>
    <cacheHierarchy uniqueName="[Measures].[Average of Average]" caption="Average of Average" measure="1" displayFolder="" measureGroup="Table1" count="0" hidden="1">
      <extLst>
        <ext xmlns:x15="http://schemas.microsoft.com/office/spreadsheetml/2010/11/main" uri="{B97F6D7D-B522-45F9-BDA1-12C45D357490}">
          <x15:cacheHierarchy aggregatedColumn="31"/>
        </ext>
      </extLst>
    </cacheHierarchy>
    <cacheHierarchy uniqueName="[Measures].[Count of Student_ID 2]" caption="Count of Student_ID 2"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Range" uniqueName="[Range]" caption="Range"/>
    <dimension name="Table1" uniqueName="[Table1]" caption="Table1"/>
    <dimension name="Table1  Study_Hours   FeedBack" uniqueName="[Table1  Study_Hours   FeedBack]" caption="Table1  Study_Hours   FeedBack"/>
  </dimensions>
  <measureGroups count="3">
    <measureGroup name="Range" caption="Range"/>
    <measureGroup name="Table1" caption="Table1"/>
    <measureGroup name="Table1  Study_Hours   FeedBack" caption="Table1  Study_Hours   FeedBack"/>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ree N" refreshedDate="46283.789811458337" backgroundQuery="1" createdVersion="8" refreshedVersion="8" minRefreshableVersion="3" recordCount="0" supportSubquery="1" supportAdvancedDrill="1" xr:uid="{1CB99506-8653-4AD3-951C-F05DCC91267D}">
  <cacheSource type="external" connectionId="1"/>
  <cacheFields count="1">
    <cacheField name="[Table1].[Department].[Department]" caption="Department" numFmtId="0" hierarchy="21" level="1">
      <sharedItems containsSemiMixedTypes="0" containsNonDate="0" containsString="0"/>
    </cacheField>
  </cacheFields>
  <cacheHierarchies count="62">
    <cacheHierarchy uniqueName="[Range].[Student_ID]" caption="Student_ID" attribute="1" defaultMemberUniqueName="[Range].[Student_ID].[All]" allUniqueName="[Range].[Student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Attendance_Percentage]" caption="Attendance_Percentage" attribute="1" defaultMemberUniqueName="[Range].[Attendance_Percentage].[All]" allUniqueName="[Range].[Attendance_Percentage].[All]" dimensionUniqueName="[Range]" displayFolder="" count="0" memberValueDatatype="20" unbalanced="0"/>
    <cacheHierarchy uniqueName="[Range].[Study_Hours]" caption="Study_Hours" attribute="1" defaultMemberUniqueName="[Range].[Study_Hours].[All]" allUniqueName="[Range].[Study_Hours].[All]" dimensionUniqueName="[Range]" displayFolder="" count="0" memberValueDatatype="5" unbalanced="0"/>
    <cacheHierarchy uniqueName="[Range].[Math_Marks]" caption="Math_Marks" attribute="1" defaultMemberUniqueName="[Range].[Math_Marks].[All]" allUniqueName="[Range].[Math_Marks].[All]" dimensionUniqueName="[Range]" displayFolder="" count="0" memberValueDatatype="20" unbalanced="0"/>
    <cacheHierarchy uniqueName="[Range].[Science_Marks]" caption="Science_Marks" attribute="1" defaultMemberUniqueName="[Range].[Science_Marks].[All]" allUniqueName="[Range].[Science_Marks].[All]" dimensionUniqueName="[Range]" displayFolder="" count="0" memberValueDatatype="20" unbalanced="0"/>
    <cacheHierarchy uniqueName="[Range].[English_Marks]" caption="English_Marks" attribute="1" defaultMemberUniqueName="[Range].[English_Marks].[All]" allUniqueName="[Range].[English_Marks].[All]" dimensionUniqueName="[Range]" displayFolder="" count="0" memberValueDatatype="20" unbalanced="0"/>
    <cacheHierarchy uniqueName="[Range].[Computer_Marks]" caption="Computer_Marks" attribute="1" defaultMemberUniqueName="[Range].[Computer_Marks].[All]" allUniqueName="[Range].[Computer_Marks].[All]" dimensionUniqueName="[Range]" displayFolder="" count="0" memberValueDatatype="20" unbalanced="0"/>
    <cacheHierarchy uniqueName="[Range].[Social_Marks]" caption="Social_Marks" attribute="1" defaultMemberUniqueName="[Range].[Social_Marks].[All]" allUniqueName="[Range].[Social_Marks].[All]" dimensionUniqueName="[Range]" displayFolder="" count="0" memberValueDatatype="20" unbalanced="0"/>
    <cacheHierarchy uniqueName="[Range].[Total_Marks]" caption="Total_Marks" attribute="1" defaultMemberUniqueName="[Range].[Total_Marks].[All]" allUniqueName="[Range].[Total_Marks].[All]" dimensionUniqueName="[Range]" displayFolder="" count="0" memberValueDatatype="20" unbalanced="0"/>
    <cacheHierarchy uniqueName="[Range].[Average]" caption="Average" attribute="1" defaultMemberUniqueName="[Range].[Average].[All]" allUniqueName="[Range].[Average].[All]" dimensionUniqueName="[Range]" displayFolder="" count="0" memberValueDatatype="5" unbalanced="0"/>
    <cacheHierarchy uniqueName="[Range].[Performance]" caption="Performance" attribute="1" defaultMemberUniqueName="[Range].[Performance].[All]" allUniqueName="[Range].[Performance].[All]" dimensionUniqueName="[Range]" displayFolder="" count="0" memberValueDatatype="130" unbalanced="0"/>
    <cacheHierarchy uniqueName="[Range].[FeedBack]" caption="FeedBack" attribute="1" defaultMemberUniqueName="[Range].[FeedBack].[All]" allUniqueName="[Range].[FeedBack].[All]" dimensionUniqueName="[Range]" displayFolder="" count="0" memberValueDatatype="130" unbalanced="0"/>
    <cacheHierarchy uniqueName="[Table1].[Student_ID]" caption="Student_ID" attribute="1" defaultMemberUniqueName="[Table1].[Student_ID].[All]" allUniqueName="[Table1].[Student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2" memberValueDatatype="130" unbalanced="0"/>
    <cacheHierarchy uniqueName="[Table1].[Attendance_Percentage]" caption="Attendance_Percentage" attribute="1" defaultMemberUniqueName="[Table1].[Attendance_Percentage].[All]" allUniqueName="[Table1].[Attendance_Percentage].[All]" dimensionUniqueName="[Table1]" displayFolder="" count="0" memberValueDatatype="20" unbalanced="0"/>
    <cacheHierarchy uniqueName="[Table1].[Study_Hours]" caption="Study_Hours" attribute="1" defaultMemberUniqueName="[Table1].[Study_Hours].[All]" allUniqueName="[Table1].[Study_Hours].[All]" dimensionUniqueName="[Table1]" displayFolder="" count="0" memberValueDatatype="5" unbalanced="0"/>
    <cacheHierarchy uniqueName="[Table1].[Math_Marks]" caption="Math_Marks" attribute="1" defaultMemberUniqueName="[Table1].[Math_Marks].[All]" allUniqueName="[Table1].[Math_Marks].[All]" dimensionUniqueName="[Table1]" displayFolder="" count="0" memberValueDatatype="20" unbalanced="0"/>
    <cacheHierarchy uniqueName="[Table1].[Science_Marks]" caption="Science_Marks" attribute="1" defaultMemberUniqueName="[Table1].[Science_Marks].[All]" allUniqueName="[Table1].[Science_Marks].[All]" dimensionUniqueName="[Table1]" displayFolder="" count="0" memberValueDatatype="20" unbalanced="0"/>
    <cacheHierarchy uniqueName="[Table1].[English_Marks]" caption="English_Marks" attribute="1" defaultMemberUniqueName="[Table1].[English_Marks].[All]" allUniqueName="[Table1].[English_Marks].[All]" dimensionUniqueName="[Table1]" displayFolder="" count="0" memberValueDatatype="20" unbalanced="0"/>
    <cacheHierarchy uniqueName="[Table1].[Computer_Marks]" caption="Computer_Marks" attribute="1" defaultMemberUniqueName="[Table1].[Computer_Marks].[All]" allUniqueName="[Table1].[Computer_Marks].[All]" dimensionUniqueName="[Table1]" displayFolder="" count="0" memberValueDatatype="20" unbalanced="0"/>
    <cacheHierarchy uniqueName="[Table1].[Social_Marks]" caption="Social_Marks" attribute="1" defaultMemberUniqueName="[Table1].[Social_Marks].[All]" allUniqueName="[Table1].[Social_Marks].[All]" dimensionUniqueName="[Table1]" displayFolder="" count="0" memberValueDatatype="20" unbalanced="0"/>
    <cacheHierarchy uniqueName="[Table1].[Total_Marks]" caption="Total_Marks" attribute="1" defaultMemberUniqueName="[Table1].[Total_Marks].[All]" allUniqueName="[Table1].[Total_Marks].[All]" dimensionUniqueName="[Table1]" displayFolder="" count="0" memberValueDatatype="20" unbalanced="0"/>
    <cacheHierarchy uniqueName="[Table1].[Average]" caption="Average" attribute="1" defaultMemberUniqueName="[Table1].[Average].[All]" allUniqueName="[Table1].[Average].[All]" dimensionUniqueName="[Table1]" displayFolder="" count="0" memberValueDatatype="5" unbalanced="0"/>
    <cacheHierarchy uniqueName="[Table1].[Performance]" caption="Performance" attribute="1" defaultMemberUniqueName="[Table1].[Performance].[All]" allUniqueName="[Table1].[Performance].[All]" dimensionUniqueName="[Table1]" displayFolder="" count="0" memberValueDatatype="130" unbalanced="0"/>
    <cacheHierarchy uniqueName="[Table1].[FeedBack]" caption="FeedBack" attribute="1" defaultMemberUniqueName="[Table1].[FeedBack].[All]" allUniqueName="[Table1].[FeedBack].[All]" dimensionUniqueName="[Table1]" displayFolder="" count="0" memberValueDatatype="130" unbalanced="0"/>
    <cacheHierarchy uniqueName="[Table1  Study_Hours   FeedBack].[Study_Hours]" caption="Study_Hours" attribute="1" defaultMemberUniqueName="[Table1  Study_Hours   FeedBack].[Study_Hours].[All]" allUniqueName="[Table1  Study_Hours   FeedBack].[Study_Hours].[All]" dimensionUniqueName="[Table1  Study_Hours   FeedBack]" displayFolder="" count="0" memberValueDatatype="5" unbalanced="0"/>
    <cacheHierarchy uniqueName="[Table1  Study_Hours   FeedBack].[Math_Marks]" caption="Math_Marks" attribute="1" defaultMemberUniqueName="[Table1  Study_Hours   FeedBack].[Math_Marks].[All]" allUniqueName="[Table1  Study_Hours   FeedBack].[Math_Marks].[All]" dimensionUniqueName="[Table1  Study_Hours   FeedBack]" displayFolder="" count="0" memberValueDatatype="20" unbalanced="0"/>
    <cacheHierarchy uniqueName="[Table1  Study_Hours   FeedBack].[Science_Marks]" caption="Science_Marks" attribute="1" defaultMemberUniqueName="[Table1  Study_Hours   FeedBack].[Science_Marks].[All]" allUniqueName="[Table1  Study_Hours   FeedBack].[Science_Marks].[All]" dimensionUniqueName="[Table1  Study_Hours   FeedBack]" displayFolder="" count="0" memberValueDatatype="20" unbalanced="0"/>
    <cacheHierarchy uniqueName="[Table1  Study_Hours   FeedBack].[English_Marks]" caption="English_Marks" attribute="1" defaultMemberUniqueName="[Table1  Study_Hours   FeedBack].[English_Marks].[All]" allUniqueName="[Table1  Study_Hours   FeedBack].[English_Marks].[All]" dimensionUniqueName="[Table1  Study_Hours   FeedBack]" displayFolder="" count="0" memberValueDatatype="20" unbalanced="0"/>
    <cacheHierarchy uniqueName="[Table1  Study_Hours   FeedBack].[Computer_Marks]" caption="Computer_Marks" attribute="1" defaultMemberUniqueName="[Table1  Study_Hours   FeedBack].[Computer_Marks].[All]" allUniqueName="[Table1  Study_Hours   FeedBack].[Computer_Marks].[All]" dimensionUniqueName="[Table1  Study_Hours   FeedBack]" displayFolder="" count="0" memberValueDatatype="20" unbalanced="0"/>
    <cacheHierarchy uniqueName="[Table1  Study_Hours   FeedBack].[Social_Marks]" caption="Social_Marks" attribute="1" defaultMemberUniqueName="[Table1  Study_Hours   FeedBack].[Social_Marks].[All]" allUniqueName="[Table1  Study_Hours   FeedBack].[Social_Marks].[All]" dimensionUniqueName="[Table1  Study_Hours   FeedBack]" displayFolder="" count="0" memberValueDatatype="20" unbalanced="0"/>
    <cacheHierarchy uniqueName="[Table1  Study_Hours   FeedBack].[Total_Marks]" caption="Total_Marks" attribute="1" defaultMemberUniqueName="[Table1  Study_Hours   FeedBack].[Total_Marks].[All]" allUniqueName="[Table1  Study_Hours   FeedBack].[Total_Marks].[All]" dimensionUniqueName="[Table1  Study_Hours   FeedBack]" displayFolder="" count="0" memberValueDatatype="20" unbalanced="0"/>
    <cacheHierarchy uniqueName="[Table1  Study_Hours   FeedBack].[Average]" caption="Average" attribute="1" defaultMemberUniqueName="[Table1  Study_Hours   FeedBack].[Average].[All]" allUniqueName="[Table1  Study_Hours   FeedBack].[Average].[All]" dimensionUniqueName="[Table1  Study_Hours   FeedBack]" displayFolder="" count="0" memberValueDatatype="5" unbalanced="0"/>
    <cacheHierarchy uniqueName="[Table1  Study_Hours   FeedBack].[Performance]" caption="Performance" attribute="1" defaultMemberUniqueName="[Table1  Study_Hours   FeedBack].[Performance].[All]" allUniqueName="[Table1  Study_Hours   FeedBack].[Performance].[All]" dimensionUniqueName="[Table1  Study_Hours   FeedBack]" displayFolder="" count="0" memberValueDatatype="130" unbalanced="0"/>
    <cacheHierarchy uniqueName="[Table1  Study_Hours   FeedBack].[FeedBack]" caption="FeedBack" attribute="1" defaultMemberUniqueName="[Table1  Study_Hours   FeedBack].[FeedBack].[All]" allUniqueName="[Table1  Study_Hours   FeedBack].[FeedBack].[All]" dimensionUniqueName="[Table1  Study_Hours   FeedBack]" displayFolder="" count="0" memberValueDatatype="130" unbalanced="0"/>
    <cacheHierarchy uniqueName="[Measures].[__XL_Count Table1  Study_Hours   FeedBack]" caption="__XL_Count Table1  Study_Hours   FeedBack" measure="1" displayFolder="" measureGroup="Table1  Study_Hours   FeedBack" count="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tudent_ID]" caption="Distinct Count of Student_ID"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4"/>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5"/>
        </ext>
      </extLst>
    </cacheHierarchy>
    <cacheHierarchy uniqueName="[Measures].[Sum of Total_Marks]" caption="Sum of Total_Marks" measure="1" displayFolder="" measureGroup="Range" count="0" hidden="1">
      <extLst>
        <ext xmlns:x15="http://schemas.microsoft.com/office/spreadsheetml/2010/11/main" uri="{B97F6D7D-B522-45F9-BDA1-12C45D357490}">
          <x15:cacheHierarchy aggregatedColumn="13"/>
        </ext>
      </extLst>
    </cacheHierarchy>
    <cacheHierarchy uniqueName="[Measures].[Average of Total_Marks]" caption="Average of Total_Marks" measure="1" displayFolder="" measureGroup="Range" count="0" hidden="1">
      <extLst>
        <ext xmlns:x15="http://schemas.microsoft.com/office/spreadsheetml/2010/11/main" uri="{B97F6D7D-B522-45F9-BDA1-12C45D357490}">
          <x15:cacheHierarchy aggregatedColumn="13"/>
        </ext>
      </extLst>
    </cacheHierarchy>
    <cacheHierarchy uniqueName="[Measures].[Sum of Attendance_Percentage]" caption="Sum of Attendance_Percentage" measure="1" displayFolder="" measureGroup="Table1" count="0" hidden="1">
      <extLst>
        <ext xmlns:x15="http://schemas.microsoft.com/office/spreadsheetml/2010/11/main" uri="{B97F6D7D-B522-45F9-BDA1-12C45D357490}">
          <x15:cacheHierarchy aggregatedColumn="23"/>
        </ext>
      </extLst>
    </cacheHierarchy>
    <cacheHierarchy uniqueName="[Measures].[Average of Attendance_Percentage]" caption="Average of Attendance_Percentage" measure="1" displayFolder="" measureGroup="Table1" count="0" hidden="1">
      <extLst>
        <ext xmlns:x15="http://schemas.microsoft.com/office/spreadsheetml/2010/11/main" uri="{B97F6D7D-B522-45F9-BDA1-12C45D357490}">
          <x15:cacheHierarchy aggregatedColumn="23"/>
        </ext>
      </extLst>
    </cacheHierarchy>
    <cacheHierarchy uniqueName="[Measures].[Sum of Total_Marks 2]" caption="Sum of Total_Marks 2" measure="1" displayFolder="" measureGroup="Table1" count="0" hidden="1">
      <extLst>
        <ext xmlns:x15="http://schemas.microsoft.com/office/spreadsheetml/2010/11/main" uri="{B97F6D7D-B522-45F9-BDA1-12C45D357490}">
          <x15:cacheHierarchy aggregatedColumn="30"/>
        </ext>
      </extLst>
    </cacheHierarchy>
    <cacheHierarchy uniqueName="[Measures].[Sum of Average]" caption="Sum of Average" measure="1" displayFolder="" measureGroup="Table1" count="0" hidden="1">
      <extLst>
        <ext xmlns:x15="http://schemas.microsoft.com/office/spreadsheetml/2010/11/main" uri="{B97F6D7D-B522-45F9-BDA1-12C45D357490}">
          <x15:cacheHierarchy aggregatedColumn="31"/>
        </ext>
      </extLst>
    </cacheHierarchy>
    <cacheHierarchy uniqueName="[Measures].[Average of Average]" caption="Average of Average" measure="1" displayFolder="" measureGroup="Table1" count="0" hidden="1">
      <extLst>
        <ext xmlns:x15="http://schemas.microsoft.com/office/spreadsheetml/2010/11/main" uri="{B97F6D7D-B522-45F9-BDA1-12C45D357490}">
          <x15:cacheHierarchy aggregatedColumn="31"/>
        </ext>
      </extLst>
    </cacheHierarchy>
    <cacheHierarchy uniqueName="[Measures].[Count of Student_ID 2]" caption="Count of Student_ID 2" measure="1" displayFolder="" measureGroup="Table1"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Range" uniqueName="[Range]" caption="Range"/>
    <dimension name="Table1" uniqueName="[Table1]" caption="Table1"/>
    <dimension name="Table1  Study_Hours   FeedBack" uniqueName="[Table1  Study_Hours   FeedBack]" caption="Table1  Study_Hours   FeedBack"/>
  </dimensions>
  <measureGroups count="3">
    <measureGroup name="Range" caption="Range"/>
    <measureGroup name="Table1" caption="Table1"/>
    <measureGroup name="Table1  Study_Hours   FeedBack" caption="Table1  Study_Hours   FeedBack"/>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ree N" refreshedDate="46283.789811921299" backgroundQuery="1" createdVersion="8" refreshedVersion="8" minRefreshableVersion="3" recordCount="0" supportSubquery="1" supportAdvancedDrill="1" xr:uid="{CAA851DD-3215-4995-A10E-6D24332A422F}">
  <cacheSource type="external" connectionId="1"/>
  <cacheFields count="5">
    <cacheField name="[Measures].[Distinct Count of Student_ID]" caption="Distinct Count of Student_ID" numFmtId="0" hierarchy="49" level="32767"/>
    <cacheField name="[Measures].[Distinct Count of Department]" caption="Distinct Count of Department" numFmtId="0" hierarchy="51" level="32767"/>
    <cacheField name="[Measures].[Distinct Count of City]" caption="Distinct Count of City" numFmtId="0" hierarchy="53" level="32767"/>
    <cacheField name="[Measures].[Average of Total_Marks]" caption="Average of Total_Marks" numFmtId="0" hierarchy="55" level="32767"/>
    <cacheField name="[Table1].[Department].[Department]" caption="Department" numFmtId="0" hierarchy="21" level="1">
      <sharedItems containsSemiMixedTypes="0" containsNonDate="0" containsString="0"/>
    </cacheField>
  </cacheFields>
  <cacheHierarchies count="62">
    <cacheHierarchy uniqueName="[Range].[Student_ID]" caption="Student_ID" attribute="1" defaultMemberUniqueName="[Range].[Student_ID].[All]" allUniqueName="[Range].[Student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Attendance_Percentage]" caption="Attendance_Percentage" attribute="1" defaultMemberUniqueName="[Range].[Attendance_Percentage].[All]" allUniqueName="[Range].[Attendance_Percentage].[All]" dimensionUniqueName="[Range]" displayFolder="" count="0" memberValueDatatype="20" unbalanced="0"/>
    <cacheHierarchy uniqueName="[Range].[Study_Hours]" caption="Study_Hours" attribute="1" defaultMemberUniqueName="[Range].[Study_Hours].[All]" allUniqueName="[Range].[Study_Hours].[All]" dimensionUniqueName="[Range]" displayFolder="" count="0" memberValueDatatype="5" unbalanced="0"/>
    <cacheHierarchy uniqueName="[Range].[Math_Marks]" caption="Math_Marks" attribute="1" defaultMemberUniqueName="[Range].[Math_Marks].[All]" allUniqueName="[Range].[Math_Marks].[All]" dimensionUniqueName="[Range]" displayFolder="" count="0" memberValueDatatype="20" unbalanced="0"/>
    <cacheHierarchy uniqueName="[Range].[Science_Marks]" caption="Science_Marks" attribute="1" defaultMemberUniqueName="[Range].[Science_Marks].[All]" allUniqueName="[Range].[Science_Marks].[All]" dimensionUniqueName="[Range]" displayFolder="" count="0" memberValueDatatype="20" unbalanced="0"/>
    <cacheHierarchy uniqueName="[Range].[English_Marks]" caption="English_Marks" attribute="1" defaultMemberUniqueName="[Range].[English_Marks].[All]" allUniqueName="[Range].[English_Marks].[All]" dimensionUniqueName="[Range]" displayFolder="" count="0" memberValueDatatype="20" unbalanced="0"/>
    <cacheHierarchy uniqueName="[Range].[Computer_Marks]" caption="Computer_Marks" attribute="1" defaultMemberUniqueName="[Range].[Computer_Marks].[All]" allUniqueName="[Range].[Computer_Marks].[All]" dimensionUniqueName="[Range]" displayFolder="" count="0" memberValueDatatype="20" unbalanced="0"/>
    <cacheHierarchy uniqueName="[Range].[Social_Marks]" caption="Social_Marks" attribute="1" defaultMemberUniqueName="[Range].[Social_Marks].[All]" allUniqueName="[Range].[Social_Marks].[All]" dimensionUniqueName="[Range]" displayFolder="" count="0" memberValueDatatype="20" unbalanced="0"/>
    <cacheHierarchy uniqueName="[Range].[Total_Marks]" caption="Total_Marks" attribute="1" defaultMemberUniqueName="[Range].[Total_Marks].[All]" allUniqueName="[Range].[Total_Marks].[All]" dimensionUniqueName="[Range]" displayFolder="" count="0" memberValueDatatype="20" unbalanced="0"/>
    <cacheHierarchy uniqueName="[Range].[Average]" caption="Average" attribute="1" defaultMemberUniqueName="[Range].[Average].[All]" allUniqueName="[Range].[Average].[All]" dimensionUniqueName="[Range]" displayFolder="" count="0" memberValueDatatype="5" unbalanced="0"/>
    <cacheHierarchy uniqueName="[Range].[Performance]" caption="Performance" attribute="1" defaultMemberUniqueName="[Range].[Performance].[All]" allUniqueName="[Range].[Performance].[All]" dimensionUniqueName="[Range]" displayFolder="" count="0" memberValueDatatype="130" unbalanced="0"/>
    <cacheHierarchy uniqueName="[Range].[FeedBack]" caption="FeedBack" attribute="1" defaultMemberUniqueName="[Range].[FeedBack].[All]" allUniqueName="[Range].[FeedBack].[All]" dimensionUniqueName="[Range]" displayFolder="" count="0" memberValueDatatype="130" unbalanced="0"/>
    <cacheHierarchy uniqueName="[Table1].[Student_ID]" caption="Student_ID" attribute="1" defaultMemberUniqueName="[Table1].[Student_ID].[All]" allUniqueName="[Table1].[Student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4"/>
      </fieldsUsage>
    </cacheHierarchy>
    <cacheHierarchy uniqueName="[Table1].[City]" caption="City" attribute="1" defaultMemberUniqueName="[Table1].[City].[All]" allUniqueName="[Table1].[City].[All]" dimensionUniqueName="[Table1]" displayFolder="" count="2" memberValueDatatype="130" unbalanced="0"/>
    <cacheHierarchy uniqueName="[Table1].[Attendance_Percentage]" caption="Attendance_Percentage" attribute="1" defaultMemberUniqueName="[Table1].[Attendance_Percentage].[All]" allUniqueName="[Table1].[Attendance_Percentage].[All]" dimensionUniqueName="[Table1]" displayFolder="" count="0" memberValueDatatype="20" unbalanced="0"/>
    <cacheHierarchy uniqueName="[Table1].[Study_Hours]" caption="Study_Hours" attribute="1" defaultMemberUniqueName="[Table1].[Study_Hours].[All]" allUniqueName="[Table1].[Study_Hours].[All]" dimensionUniqueName="[Table1]" displayFolder="" count="0" memberValueDatatype="5" unbalanced="0"/>
    <cacheHierarchy uniqueName="[Table1].[Math_Marks]" caption="Math_Marks" attribute="1" defaultMemberUniqueName="[Table1].[Math_Marks].[All]" allUniqueName="[Table1].[Math_Marks].[All]" dimensionUniqueName="[Table1]" displayFolder="" count="0" memberValueDatatype="20" unbalanced="0"/>
    <cacheHierarchy uniqueName="[Table1].[Science_Marks]" caption="Science_Marks" attribute="1" defaultMemberUniqueName="[Table1].[Science_Marks].[All]" allUniqueName="[Table1].[Science_Marks].[All]" dimensionUniqueName="[Table1]" displayFolder="" count="0" memberValueDatatype="20" unbalanced="0"/>
    <cacheHierarchy uniqueName="[Table1].[English_Marks]" caption="English_Marks" attribute="1" defaultMemberUniqueName="[Table1].[English_Marks].[All]" allUniqueName="[Table1].[English_Marks].[All]" dimensionUniqueName="[Table1]" displayFolder="" count="0" memberValueDatatype="20" unbalanced="0"/>
    <cacheHierarchy uniqueName="[Table1].[Computer_Marks]" caption="Computer_Marks" attribute="1" defaultMemberUniqueName="[Table1].[Computer_Marks].[All]" allUniqueName="[Table1].[Computer_Marks].[All]" dimensionUniqueName="[Table1]" displayFolder="" count="0" memberValueDatatype="20" unbalanced="0"/>
    <cacheHierarchy uniqueName="[Table1].[Social_Marks]" caption="Social_Marks" attribute="1" defaultMemberUniqueName="[Table1].[Social_Marks].[All]" allUniqueName="[Table1].[Social_Marks].[All]" dimensionUniqueName="[Table1]" displayFolder="" count="0" memberValueDatatype="20" unbalanced="0"/>
    <cacheHierarchy uniqueName="[Table1].[Total_Marks]" caption="Total_Marks" attribute="1" defaultMemberUniqueName="[Table1].[Total_Marks].[All]" allUniqueName="[Table1].[Total_Marks].[All]" dimensionUniqueName="[Table1]" displayFolder="" count="0" memberValueDatatype="20" unbalanced="0"/>
    <cacheHierarchy uniqueName="[Table1].[Average]" caption="Average" attribute="1" defaultMemberUniqueName="[Table1].[Average].[All]" allUniqueName="[Table1].[Average].[All]" dimensionUniqueName="[Table1]" displayFolder="" count="0" memberValueDatatype="5" unbalanced="0"/>
    <cacheHierarchy uniqueName="[Table1].[Performance]" caption="Performance" attribute="1" defaultMemberUniqueName="[Table1].[Performance].[All]" allUniqueName="[Table1].[Performance].[All]" dimensionUniqueName="[Table1]" displayFolder="" count="0" memberValueDatatype="130" unbalanced="0"/>
    <cacheHierarchy uniqueName="[Table1].[FeedBack]" caption="FeedBack" attribute="1" defaultMemberUniqueName="[Table1].[FeedBack].[All]" allUniqueName="[Table1].[FeedBack].[All]" dimensionUniqueName="[Table1]" displayFolder="" count="0" memberValueDatatype="130" unbalanced="0"/>
    <cacheHierarchy uniqueName="[Table1  Study_Hours   FeedBack].[Study_Hours]" caption="Study_Hours" attribute="1" defaultMemberUniqueName="[Table1  Study_Hours   FeedBack].[Study_Hours].[All]" allUniqueName="[Table1  Study_Hours   FeedBack].[Study_Hours].[All]" dimensionUniqueName="[Table1  Study_Hours   FeedBack]" displayFolder="" count="0" memberValueDatatype="5" unbalanced="0"/>
    <cacheHierarchy uniqueName="[Table1  Study_Hours   FeedBack].[Math_Marks]" caption="Math_Marks" attribute="1" defaultMemberUniqueName="[Table1  Study_Hours   FeedBack].[Math_Marks].[All]" allUniqueName="[Table1  Study_Hours   FeedBack].[Math_Marks].[All]" dimensionUniqueName="[Table1  Study_Hours   FeedBack]" displayFolder="" count="0" memberValueDatatype="20" unbalanced="0"/>
    <cacheHierarchy uniqueName="[Table1  Study_Hours   FeedBack].[Science_Marks]" caption="Science_Marks" attribute="1" defaultMemberUniqueName="[Table1  Study_Hours   FeedBack].[Science_Marks].[All]" allUniqueName="[Table1  Study_Hours   FeedBack].[Science_Marks].[All]" dimensionUniqueName="[Table1  Study_Hours   FeedBack]" displayFolder="" count="0" memberValueDatatype="20" unbalanced="0"/>
    <cacheHierarchy uniqueName="[Table1  Study_Hours   FeedBack].[English_Marks]" caption="English_Marks" attribute="1" defaultMemberUniqueName="[Table1  Study_Hours   FeedBack].[English_Marks].[All]" allUniqueName="[Table1  Study_Hours   FeedBack].[English_Marks].[All]" dimensionUniqueName="[Table1  Study_Hours   FeedBack]" displayFolder="" count="0" memberValueDatatype="20" unbalanced="0"/>
    <cacheHierarchy uniqueName="[Table1  Study_Hours   FeedBack].[Computer_Marks]" caption="Computer_Marks" attribute="1" defaultMemberUniqueName="[Table1  Study_Hours   FeedBack].[Computer_Marks].[All]" allUniqueName="[Table1  Study_Hours   FeedBack].[Computer_Marks].[All]" dimensionUniqueName="[Table1  Study_Hours   FeedBack]" displayFolder="" count="0" memberValueDatatype="20" unbalanced="0"/>
    <cacheHierarchy uniqueName="[Table1  Study_Hours   FeedBack].[Social_Marks]" caption="Social_Marks" attribute="1" defaultMemberUniqueName="[Table1  Study_Hours   FeedBack].[Social_Marks].[All]" allUniqueName="[Table1  Study_Hours   FeedBack].[Social_Marks].[All]" dimensionUniqueName="[Table1  Study_Hours   FeedBack]" displayFolder="" count="0" memberValueDatatype="20" unbalanced="0"/>
    <cacheHierarchy uniqueName="[Table1  Study_Hours   FeedBack].[Total_Marks]" caption="Total_Marks" attribute="1" defaultMemberUniqueName="[Table1  Study_Hours   FeedBack].[Total_Marks].[All]" allUniqueName="[Table1  Study_Hours   FeedBack].[Total_Marks].[All]" dimensionUniqueName="[Table1  Study_Hours   FeedBack]" displayFolder="" count="0" memberValueDatatype="20" unbalanced="0"/>
    <cacheHierarchy uniqueName="[Table1  Study_Hours   FeedBack].[Average]" caption="Average" attribute="1" defaultMemberUniqueName="[Table1  Study_Hours   FeedBack].[Average].[All]" allUniqueName="[Table1  Study_Hours   FeedBack].[Average].[All]" dimensionUniqueName="[Table1  Study_Hours   FeedBack]" displayFolder="" count="0" memberValueDatatype="5" unbalanced="0"/>
    <cacheHierarchy uniqueName="[Table1  Study_Hours   FeedBack].[Performance]" caption="Performance" attribute="1" defaultMemberUniqueName="[Table1  Study_Hours   FeedBack].[Performance].[All]" allUniqueName="[Table1  Study_Hours   FeedBack].[Performance].[All]" dimensionUniqueName="[Table1  Study_Hours   FeedBack]" displayFolder="" count="0" memberValueDatatype="130" unbalanced="0"/>
    <cacheHierarchy uniqueName="[Table1  Study_Hours   FeedBack].[FeedBack]" caption="FeedBack" attribute="1" defaultMemberUniqueName="[Table1  Study_Hours   FeedBack].[FeedBack].[All]" allUniqueName="[Table1  Study_Hours   FeedBack].[FeedBack].[All]" dimensionUniqueName="[Table1  Study_Hours   FeedBack]" displayFolder="" count="0" memberValueDatatype="130" unbalanced="0"/>
    <cacheHierarchy uniqueName="[Measures].[__XL_Count Table1  Study_Hours   FeedBack]" caption="__XL_Count Table1  Study_Hours   FeedBack" measure="1" displayFolder="" measureGroup="Table1  Study_Hours   FeedBack" count="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tudent_ID]" caption="Distinct Count of Student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4"/>
        </ext>
      </extLst>
    </cacheHierarchy>
    <cacheHierarchy uniqueName="[Measures].[Distinct Count of Department]" caption="Distinct Count of Department"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Range"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Total_Marks]" caption="Sum of Total_Marks" measure="1" displayFolder="" measureGroup="Range" count="0" hidden="1">
      <extLst>
        <ext xmlns:x15="http://schemas.microsoft.com/office/spreadsheetml/2010/11/main" uri="{B97F6D7D-B522-45F9-BDA1-12C45D357490}">
          <x15:cacheHierarchy aggregatedColumn="13"/>
        </ext>
      </extLst>
    </cacheHierarchy>
    <cacheHierarchy uniqueName="[Measures].[Average of Total_Marks]" caption="Average of Total_Marks" measure="1" displayFolder="" measureGroup="Range"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Attendance_Percentage]" caption="Sum of Attendance_Percentage" measure="1" displayFolder="" measureGroup="Table1" count="0" hidden="1">
      <extLst>
        <ext xmlns:x15="http://schemas.microsoft.com/office/spreadsheetml/2010/11/main" uri="{B97F6D7D-B522-45F9-BDA1-12C45D357490}">
          <x15:cacheHierarchy aggregatedColumn="23"/>
        </ext>
      </extLst>
    </cacheHierarchy>
    <cacheHierarchy uniqueName="[Measures].[Average of Attendance_Percentage]" caption="Average of Attendance_Percentage" measure="1" displayFolder="" measureGroup="Table1" count="0" hidden="1">
      <extLst>
        <ext xmlns:x15="http://schemas.microsoft.com/office/spreadsheetml/2010/11/main" uri="{B97F6D7D-B522-45F9-BDA1-12C45D357490}">
          <x15:cacheHierarchy aggregatedColumn="23"/>
        </ext>
      </extLst>
    </cacheHierarchy>
    <cacheHierarchy uniqueName="[Measures].[Sum of Total_Marks 2]" caption="Sum of Total_Marks 2" measure="1" displayFolder="" measureGroup="Table1" count="0" hidden="1">
      <extLst>
        <ext xmlns:x15="http://schemas.microsoft.com/office/spreadsheetml/2010/11/main" uri="{B97F6D7D-B522-45F9-BDA1-12C45D357490}">
          <x15:cacheHierarchy aggregatedColumn="30"/>
        </ext>
      </extLst>
    </cacheHierarchy>
    <cacheHierarchy uniqueName="[Measures].[Sum of Average]" caption="Sum of Average" measure="1" displayFolder="" measureGroup="Table1" count="0" hidden="1">
      <extLst>
        <ext xmlns:x15="http://schemas.microsoft.com/office/spreadsheetml/2010/11/main" uri="{B97F6D7D-B522-45F9-BDA1-12C45D357490}">
          <x15:cacheHierarchy aggregatedColumn="31"/>
        </ext>
      </extLst>
    </cacheHierarchy>
    <cacheHierarchy uniqueName="[Measures].[Average of Average]" caption="Average of Average" measure="1" displayFolder="" measureGroup="Table1" count="0" hidden="1">
      <extLst>
        <ext xmlns:x15="http://schemas.microsoft.com/office/spreadsheetml/2010/11/main" uri="{B97F6D7D-B522-45F9-BDA1-12C45D357490}">
          <x15:cacheHierarchy aggregatedColumn="31"/>
        </ext>
      </extLst>
    </cacheHierarchy>
    <cacheHierarchy uniqueName="[Measures].[Count of Student_ID 2]" caption="Count of Student_ID 2" measure="1" displayFolder="" measureGroup="Table1"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Range" uniqueName="[Range]" caption="Range"/>
    <dimension name="Table1" uniqueName="[Table1]" caption="Table1"/>
    <dimension name="Table1  Study_Hours   FeedBack" uniqueName="[Table1  Study_Hours   FeedBack]" caption="Table1  Study_Hours   FeedBack"/>
  </dimensions>
  <measureGroups count="3">
    <measureGroup name="Range" caption="Range"/>
    <measureGroup name="Table1" caption="Table1"/>
    <measureGroup name="Table1  Study_Hours   FeedBack" caption="Table1  Study_Hours   FeedBack"/>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ree N" refreshedDate="46283.789812499999" backgroundQuery="1" createdVersion="8" refreshedVersion="8" minRefreshableVersion="3" recordCount="0" supportSubquery="1" supportAdvancedDrill="1" xr:uid="{064D8410-58DE-4F67-9606-07E9A09049D3}">
  <cacheSource type="external" connectionId="1"/>
  <cacheFields count="2">
    <cacheField name="[Table1].[Department].[Department]" caption="Department" numFmtId="0" hierarchy="21" level="1">
      <sharedItems count="6">
        <s v="Business Administration"/>
        <s v="Commerce"/>
        <s v="Computer Science"/>
        <s v="Information Technology"/>
        <s v="Mathematics"/>
        <s v="Physics"/>
      </sharedItems>
    </cacheField>
    <cacheField name="[Measures].[Average of Attendance_Percentage]" caption="Average of Attendance_Percentage" numFmtId="0" hierarchy="57" level="32767"/>
  </cacheFields>
  <cacheHierarchies count="62">
    <cacheHierarchy uniqueName="[Range].[Student_ID]" caption="Student_ID" attribute="1" defaultMemberUniqueName="[Range].[Student_ID].[All]" allUniqueName="[Range].[Student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Attendance_Percentage]" caption="Attendance_Percentage" attribute="1" defaultMemberUniqueName="[Range].[Attendance_Percentage].[All]" allUniqueName="[Range].[Attendance_Percentage].[All]" dimensionUniqueName="[Range]" displayFolder="" count="0" memberValueDatatype="20" unbalanced="0"/>
    <cacheHierarchy uniqueName="[Range].[Study_Hours]" caption="Study_Hours" attribute="1" defaultMemberUniqueName="[Range].[Study_Hours].[All]" allUniqueName="[Range].[Study_Hours].[All]" dimensionUniqueName="[Range]" displayFolder="" count="0" memberValueDatatype="5" unbalanced="0"/>
    <cacheHierarchy uniqueName="[Range].[Math_Marks]" caption="Math_Marks" attribute="1" defaultMemberUniqueName="[Range].[Math_Marks].[All]" allUniqueName="[Range].[Math_Marks].[All]" dimensionUniqueName="[Range]" displayFolder="" count="0" memberValueDatatype="20" unbalanced="0"/>
    <cacheHierarchy uniqueName="[Range].[Science_Marks]" caption="Science_Marks" attribute="1" defaultMemberUniqueName="[Range].[Science_Marks].[All]" allUniqueName="[Range].[Science_Marks].[All]" dimensionUniqueName="[Range]" displayFolder="" count="0" memberValueDatatype="20" unbalanced="0"/>
    <cacheHierarchy uniqueName="[Range].[English_Marks]" caption="English_Marks" attribute="1" defaultMemberUniqueName="[Range].[English_Marks].[All]" allUniqueName="[Range].[English_Marks].[All]" dimensionUniqueName="[Range]" displayFolder="" count="0" memberValueDatatype="20" unbalanced="0"/>
    <cacheHierarchy uniqueName="[Range].[Computer_Marks]" caption="Computer_Marks" attribute="1" defaultMemberUniqueName="[Range].[Computer_Marks].[All]" allUniqueName="[Range].[Computer_Marks].[All]" dimensionUniqueName="[Range]" displayFolder="" count="0" memberValueDatatype="20" unbalanced="0"/>
    <cacheHierarchy uniqueName="[Range].[Social_Marks]" caption="Social_Marks" attribute="1" defaultMemberUniqueName="[Range].[Social_Marks].[All]" allUniqueName="[Range].[Social_Marks].[All]" dimensionUniqueName="[Range]" displayFolder="" count="0" memberValueDatatype="20" unbalanced="0"/>
    <cacheHierarchy uniqueName="[Range].[Total_Marks]" caption="Total_Marks" attribute="1" defaultMemberUniqueName="[Range].[Total_Marks].[All]" allUniqueName="[Range].[Total_Marks].[All]" dimensionUniqueName="[Range]" displayFolder="" count="0" memberValueDatatype="20" unbalanced="0"/>
    <cacheHierarchy uniqueName="[Range].[Average]" caption="Average" attribute="1" defaultMemberUniqueName="[Range].[Average].[All]" allUniqueName="[Range].[Average].[All]" dimensionUniqueName="[Range]" displayFolder="" count="0" memberValueDatatype="5" unbalanced="0"/>
    <cacheHierarchy uniqueName="[Range].[Performance]" caption="Performance" attribute="1" defaultMemberUniqueName="[Range].[Performance].[All]" allUniqueName="[Range].[Performance].[All]" dimensionUniqueName="[Range]" displayFolder="" count="0" memberValueDatatype="130" unbalanced="0"/>
    <cacheHierarchy uniqueName="[Range].[FeedBack]" caption="FeedBack" attribute="1" defaultMemberUniqueName="[Range].[FeedBack].[All]" allUniqueName="[Range].[FeedBack].[All]" dimensionUniqueName="[Range]" displayFolder="" count="0" memberValueDatatype="130" unbalanced="0"/>
    <cacheHierarchy uniqueName="[Table1].[Student_ID]" caption="Student_ID" attribute="1" defaultMemberUniqueName="[Table1].[Student_ID].[All]" allUniqueName="[Table1].[Student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2" memberValueDatatype="130" unbalanced="0"/>
    <cacheHierarchy uniqueName="[Table1].[Attendance_Percentage]" caption="Attendance_Percentage" attribute="1" defaultMemberUniqueName="[Table1].[Attendance_Percentage].[All]" allUniqueName="[Table1].[Attendance_Percentage].[All]" dimensionUniqueName="[Table1]" displayFolder="" count="0" memberValueDatatype="20" unbalanced="0"/>
    <cacheHierarchy uniqueName="[Table1].[Study_Hours]" caption="Study_Hours" attribute="1" defaultMemberUniqueName="[Table1].[Study_Hours].[All]" allUniqueName="[Table1].[Study_Hours].[All]" dimensionUniqueName="[Table1]" displayFolder="" count="0" memberValueDatatype="5" unbalanced="0"/>
    <cacheHierarchy uniqueName="[Table1].[Math_Marks]" caption="Math_Marks" attribute="1" defaultMemberUniqueName="[Table1].[Math_Marks].[All]" allUniqueName="[Table1].[Math_Marks].[All]" dimensionUniqueName="[Table1]" displayFolder="" count="0" memberValueDatatype="20" unbalanced="0"/>
    <cacheHierarchy uniqueName="[Table1].[Science_Marks]" caption="Science_Marks" attribute="1" defaultMemberUniqueName="[Table1].[Science_Marks].[All]" allUniqueName="[Table1].[Science_Marks].[All]" dimensionUniqueName="[Table1]" displayFolder="" count="0" memberValueDatatype="20" unbalanced="0"/>
    <cacheHierarchy uniqueName="[Table1].[English_Marks]" caption="English_Marks" attribute="1" defaultMemberUniqueName="[Table1].[English_Marks].[All]" allUniqueName="[Table1].[English_Marks].[All]" dimensionUniqueName="[Table1]" displayFolder="" count="0" memberValueDatatype="20" unbalanced="0"/>
    <cacheHierarchy uniqueName="[Table1].[Computer_Marks]" caption="Computer_Marks" attribute="1" defaultMemberUniqueName="[Table1].[Computer_Marks].[All]" allUniqueName="[Table1].[Computer_Marks].[All]" dimensionUniqueName="[Table1]" displayFolder="" count="0" memberValueDatatype="20" unbalanced="0"/>
    <cacheHierarchy uniqueName="[Table1].[Social_Marks]" caption="Social_Marks" attribute="1" defaultMemberUniqueName="[Table1].[Social_Marks].[All]" allUniqueName="[Table1].[Social_Marks].[All]" dimensionUniqueName="[Table1]" displayFolder="" count="0" memberValueDatatype="20" unbalanced="0"/>
    <cacheHierarchy uniqueName="[Table1].[Total_Marks]" caption="Total_Marks" attribute="1" defaultMemberUniqueName="[Table1].[Total_Marks].[All]" allUniqueName="[Table1].[Total_Marks].[All]" dimensionUniqueName="[Table1]" displayFolder="" count="0" memberValueDatatype="20" unbalanced="0"/>
    <cacheHierarchy uniqueName="[Table1].[Average]" caption="Average" attribute="1" defaultMemberUniqueName="[Table1].[Average].[All]" allUniqueName="[Table1].[Average].[All]" dimensionUniqueName="[Table1]" displayFolder="" count="0" memberValueDatatype="5" unbalanced="0"/>
    <cacheHierarchy uniqueName="[Table1].[Performance]" caption="Performance" attribute="1" defaultMemberUniqueName="[Table1].[Performance].[All]" allUniqueName="[Table1].[Performance].[All]" dimensionUniqueName="[Table1]" displayFolder="" count="0" memberValueDatatype="130" unbalanced="0"/>
    <cacheHierarchy uniqueName="[Table1].[FeedBack]" caption="FeedBack" attribute="1" defaultMemberUniqueName="[Table1].[FeedBack].[All]" allUniqueName="[Table1].[FeedBack].[All]" dimensionUniqueName="[Table1]" displayFolder="" count="0" memberValueDatatype="130" unbalanced="0"/>
    <cacheHierarchy uniqueName="[Table1  Study_Hours   FeedBack].[Study_Hours]" caption="Study_Hours" attribute="1" defaultMemberUniqueName="[Table1  Study_Hours   FeedBack].[Study_Hours].[All]" allUniqueName="[Table1  Study_Hours   FeedBack].[Study_Hours].[All]" dimensionUniqueName="[Table1  Study_Hours   FeedBack]" displayFolder="" count="0" memberValueDatatype="5" unbalanced="0"/>
    <cacheHierarchy uniqueName="[Table1  Study_Hours   FeedBack].[Math_Marks]" caption="Math_Marks" attribute="1" defaultMemberUniqueName="[Table1  Study_Hours   FeedBack].[Math_Marks].[All]" allUniqueName="[Table1  Study_Hours   FeedBack].[Math_Marks].[All]" dimensionUniqueName="[Table1  Study_Hours   FeedBack]" displayFolder="" count="0" memberValueDatatype="20" unbalanced="0"/>
    <cacheHierarchy uniqueName="[Table1  Study_Hours   FeedBack].[Science_Marks]" caption="Science_Marks" attribute="1" defaultMemberUniqueName="[Table1  Study_Hours   FeedBack].[Science_Marks].[All]" allUniqueName="[Table1  Study_Hours   FeedBack].[Science_Marks].[All]" dimensionUniqueName="[Table1  Study_Hours   FeedBack]" displayFolder="" count="0" memberValueDatatype="20" unbalanced="0"/>
    <cacheHierarchy uniqueName="[Table1  Study_Hours   FeedBack].[English_Marks]" caption="English_Marks" attribute="1" defaultMemberUniqueName="[Table1  Study_Hours   FeedBack].[English_Marks].[All]" allUniqueName="[Table1  Study_Hours   FeedBack].[English_Marks].[All]" dimensionUniqueName="[Table1  Study_Hours   FeedBack]" displayFolder="" count="0" memberValueDatatype="20" unbalanced="0"/>
    <cacheHierarchy uniqueName="[Table1  Study_Hours   FeedBack].[Computer_Marks]" caption="Computer_Marks" attribute="1" defaultMemberUniqueName="[Table1  Study_Hours   FeedBack].[Computer_Marks].[All]" allUniqueName="[Table1  Study_Hours   FeedBack].[Computer_Marks].[All]" dimensionUniqueName="[Table1  Study_Hours   FeedBack]" displayFolder="" count="0" memberValueDatatype="20" unbalanced="0"/>
    <cacheHierarchy uniqueName="[Table1  Study_Hours   FeedBack].[Social_Marks]" caption="Social_Marks" attribute="1" defaultMemberUniqueName="[Table1  Study_Hours   FeedBack].[Social_Marks].[All]" allUniqueName="[Table1  Study_Hours   FeedBack].[Social_Marks].[All]" dimensionUniqueName="[Table1  Study_Hours   FeedBack]" displayFolder="" count="0" memberValueDatatype="20" unbalanced="0"/>
    <cacheHierarchy uniqueName="[Table1  Study_Hours   FeedBack].[Total_Marks]" caption="Total_Marks" attribute="1" defaultMemberUniqueName="[Table1  Study_Hours   FeedBack].[Total_Marks].[All]" allUniqueName="[Table1  Study_Hours   FeedBack].[Total_Marks].[All]" dimensionUniqueName="[Table1  Study_Hours   FeedBack]" displayFolder="" count="0" memberValueDatatype="20" unbalanced="0"/>
    <cacheHierarchy uniqueName="[Table1  Study_Hours   FeedBack].[Average]" caption="Average" attribute="1" defaultMemberUniqueName="[Table1  Study_Hours   FeedBack].[Average].[All]" allUniqueName="[Table1  Study_Hours   FeedBack].[Average].[All]" dimensionUniqueName="[Table1  Study_Hours   FeedBack]" displayFolder="" count="0" memberValueDatatype="5" unbalanced="0"/>
    <cacheHierarchy uniqueName="[Table1  Study_Hours   FeedBack].[Performance]" caption="Performance" attribute="1" defaultMemberUniqueName="[Table1  Study_Hours   FeedBack].[Performance].[All]" allUniqueName="[Table1  Study_Hours   FeedBack].[Performance].[All]" dimensionUniqueName="[Table1  Study_Hours   FeedBack]" displayFolder="" count="0" memberValueDatatype="130" unbalanced="0"/>
    <cacheHierarchy uniqueName="[Table1  Study_Hours   FeedBack].[FeedBack]" caption="FeedBack" attribute="1" defaultMemberUniqueName="[Table1  Study_Hours   FeedBack].[FeedBack].[All]" allUniqueName="[Table1  Study_Hours   FeedBack].[FeedBack].[All]" dimensionUniqueName="[Table1  Study_Hours   FeedBack]" displayFolder="" count="0" memberValueDatatype="130" unbalanced="0"/>
    <cacheHierarchy uniqueName="[Measures].[__XL_Count Table1  Study_Hours   FeedBack]" caption="__XL_Count Table1  Study_Hours   FeedBack" measure="1" displayFolder="" measureGroup="Table1  Study_Hours   FeedBack" count="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tudent_ID]" caption="Distinct Count of Student_ID"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4"/>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5"/>
        </ext>
      </extLst>
    </cacheHierarchy>
    <cacheHierarchy uniqueName="[Measures].[Sum of Total_Marks]" caption="Sum of Total_Marks" measure="1" displayFolder="" measureGroup="Range" count="0" hidden="1">
      <extLst>
        <ext xmlns:x15="http://schemas.microsoft.com/office/spreadsheetml/2010/11/main" uri="{B97F6D7D-B522-45F9-BDA1-12C45D357490}">
          <x15:cacheHierarchy aggregatedColumn="13"/>
        </ext>
      </extLst>
    </cacheHierarchy>
    <cacheHierarchy uniqueName="[Measures].[Average of Total_Marks]" caption="Average of Total_Marks" measure="1" displayFolder="" measureGroup="Range" count="0" hidden="1">
      <extLst>
        <ext xmlns:x15="http://schemas.microsoft.com/office/spreadsheetml/2010/11/main" uri="{B97F6D7D-B522-45F9-BDA1-12C45D357490}">
          <x15:cacheHierarchy aggregatedColumn="13"/>
        </ext>
      </extLst>
    </cacheHierarchy>
    <cacheHierarchy uniqueName="[Measures].[Sum of Attendance_Percentage]" caption="Sum of Attendance_Percentage" measure="1" displayFolder="" measureGroup="Table1" count="0" hidden="1">
      <extLst>
        <ext xmlns:x15="http://schemas.microsoft.com/office/spreadsheetml/2010/11/main" uri="{B97F6D7D-B522-45F9-BDA1-12C45D357490}">
          <x15:cacheHierarchy aggregatedColumn="23"/>
        </ext>
      </extLst>
    </cacheHierarchy>
    <cacheHierarchy uniqueName="[Measures].[Average of Attendance_Percentage]" caption="Average of Attendance_Percentage" measure="1" displayFolder="" measureGroup="Table1"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Total_Marks 2]" caption="Sum of Total_Marks 2" measure="1" displayFolder="" measureGroup="Table1" count="0" hidden="1">
      <extLst>
        <ext xmlns:x15="http://schemas.microsoft.com/office/spreadsheetml/2010/11/main" uri="{B97F6D7D-B522-45F9-BDA1-12C45D357490}">
          <x15:cacheHierarchy aggregatedColumn="30"/>
        </ext>
      </extLst>
    </cacheHierarchy>
    <cacheHierarchy uniqueName="[Measures].[Sum of Average]" caption="Sum of Average" measure="1" displayFolder="" measureGroup="Table1" count="0" hidden="1">
      <extLst>
        <ext xmlns:x15="http://schemas.microsoft.com/office/spreadsheetml/2010/11/main" uri="{B97F6D7D-B522-45F9-BDA1-12C45D357490}">
          <x15:cacheHierarchy aggregatedColumn="31"/>
        </ext>
      </extLst>
    </cacheHierarchy>
    <cacheHierarchy uniqueName="[Measures].[Average of Average]" caption="Average of Average" measure="1" displayFolder="" measureGroup="Table1" count="0" hidden="1">
      <extLst>
        <ext xmlns:x15="http://schemas.microsoft.com/office/spreadsheetml/2010/11/main" uri="{B97F6D7D-B522-45F9-BDA1-12C45D357490}">
          <x15:cacheHierarchy aggregatedColumn="31"/>
        </ext>
      </extLst>
    </cacheHierarchy>
    <cacheHierarchy uniqueName="[Measures].[Count of Student_ID 2]" caption="Count of Student_ID 2" measure="1" displayFolder="" measureGroup="Table1"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Range" uniqueName="[Range]" caption="Range"/>
    <dimension name="Table1" uniqueName="[Table1]" caption="Table1"/>
    <dimension name="Table1  Study_Hours   FeedBack" uniqueName="[Table1  Study_Hours   FeedBack]" caption="Table1  Study_Hours   FeedBack"/>
  </dimensions>
  <measureGroups count="3">
    <measureGroup name="Range" caption="Range"/>
    <measureGroup name="Table1" caption="Table1"/>
    <measureGroup name="Table1  Study_Hours   FeedBack" caption="Table1  Study_Hours   FeedBack"/>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ree N" refreshedDate="46283.789813194446" backgroundQuery="1" createdVersion="8" refreshedVersion="8" minRefreshableVersion="3" recordCount="0" supportSubquery="1" supportAdvancedDrill="1" xr:uid="{AD2B480C-6D0B-4CF4-AD47-F5ADB04B4148}">
  <cacheSource type="external" connectionId="1"/>
  <cacheFields count="3">
    <cacheField name="[Table1].[City].[City]" caption="City" numFmtId="0" hierarchy="22" level="1">
      <sharedItems count="8">
        <s v="Chennai"/>
        <s v="Coimbatore"/>
        <s v="Erode"/>
        <s v="Karur"/>
        <s v="Madurai"/>
        <s v="Salem"/>
        <s v="Tiruppur"/>
        <s v="Trichy"/>
      </sharedItems>
    </cacheField>
    <cacheField name="[Measures].[Sum of Total_Marks 2]" caption="Sum of Total_Marks 2" numFmtId="0" hierarchy="58" level="32767"/>
    <cacheField name="[Table1].[Department].[Department]" caption="Department" numFmtId="0" hierarchy="21" level="1">
      <sharedItems containsSemiMixedTypes="0" containsNonDate="0" containsString="0"/>
    </cacheField>
  </cacheFields>
  <cacheHierarchies count="62">
    <cacheHierarchy uniqueName="[Range].[Student_ID]" caption="Student_ID" attribute="1" defaultMemberUniqueName="[Range].[Student_ID].[All]" allUniqueName="[Range].[Student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Attendance_Percentage]" caption="Attendance_Percentage" attribute="1" defaultMemberUniqueName="[Range].[Attendance_Percentage].[All]" allUniqueName="[Range].[Attendance_Percentage].[All]" dimensionUniqueName="[Range]" displayFolder="" count="0" memberValueDatatype="20" unbalanced="0"/>
    <cacheHierarchy uniqueName="[Range].[Study_Hours]" caption="Study_Hours" attribute="1" defaultMemberUniqueName="[Range].[Study_Hours].[All]" allUniqueName="[Range].[Study_Hours].[All]" dimensionUniqueName="[Range]" displayFolder="" count="0" memberValueDatatype="5" unbalanced="0"/>
    <cacheHierarchy uniqueName="[Range].[Math_Marks]" caption="Math_Marks" attribute="1" defaultMemberUniqueName="[Range].[Math_Marks].[All]" allUniqueName="[Range].[Math_Marks].[All]" dimensionUniqueName="[Range]" displayFolder="" count="0" memberValueDatatype="20" unbalanced="0"/>
    <cacheHierarchy uniqueName="[Range].[Science_Marks]" caption="Science_Marks" attribute="1" defaultMemberUniqueName="[Range].[Science_Marks].[All]" allUniqueName="[Range].[Science_Marks].[All]" dimensionUniqueName="[Range]" displayFolder="" count="0" memberValueDatatype="20" unbalanced="0"/>
    <cacheHierarchy uniqueName="[Range].[English_Marks]" caption="English_Marks" attribute="1" defaultMemberUniqueName="[Range].[English_Marks].[All]" allUniqueName="[Range].[English_Marks].[All]" dimensionUniqueName="[Range]" displayFolder="" count="0" memberValueDatatype="20" unbalanced="0"/>
    <cacheHierarchy uniqueName="[Range].[Computer_Marks]" caption="Computer_Marks" attribute="1" defaultMemberUniqueName="[Range].[Computer_Marks].[All]" allUniqueName="[Range].[Computer_Marks].[All]" dimensionUniqueName="[Range]" displayFolder="" count="0" memberValueDatatype="20" unbalanced="0"/>
    <cacheHierarchy uniqueName="[Range].[Social_Marks]" caption="Social_Marks" attribute="1" defaultMemberUniqueName="[Range].[Social_Marks].[All]" allUniqueName="[Range].[Social_Marks].[All]" dimensionUniqueName="[Range]" displayFolder="" count="0" memberValueDatatype="20" unbalanced="0"/>
    <cacheHierarchy uniqueName="[Range].[Total_Marks]" caption="Total_Marks" attribute="1" defaultMemberUniqueName="[Range].[Total_Marks].[All]" allUniqueName="[Range].[Total_Marks].[All]" dimensionUniqueName="[Range]" displayFolder="" count="0" memberValueDatatype="20" unbalanced="0"/>
    <cacheHierarchy uniqueName="[Range].[Average]" caption="Average" attribute="1" defaultMemberUniqueName="[Range].[Average].[All]" allUniqueName="[Range].[Average].[All]" dimensionUniqueName="[Range]" displayFolder="" count="0" memberValueDatatype="5" unbalanced="0"/>
    <cacheHierarchy uniqueName="[Range].[Performance]" caption="Performance" attribute="1" defaultMemberUniqueName="[Range].[Performance].[All]" allUniqueName="[Range].[Performance].[All]" dimensionUniqueName="[Range]" displayFolder="" count="0" memberValueDatatype="130" unbalanced="0"/>
    <cacheHierarchy uniqueName="[Range].[FeedBack]" caption="FeedBack" attribute="1" defaultMemberUniqueName="[Range].[FeedBack].[All]" allUniqueName="[Range].[FeedBack].[All]" dimensionUniqueName="[Range]" displayFolder="" count="0" memberValueDatatype="130" unbalanced="0"/>
    <cacheHierarchy uniqueName="[Table1].[Student_ID]" caption="Student_ID" attribute="1" defaultMemberUniqueName="[Table1].[Student_ID].[All]" allUniqueName="[Table1].[Student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Attendance_Percentage]" caption="Attendance_Percentage" attribute="1" defaultMemberUniqueName="[Table1].[Attendance_Percentage].[All]" allUniqueName="[Table1].[Attendance_Percentage].[All]" dimensionUniqueName="[Table1]" displayFolder="" count="0" memberValueDatatype="20" unbalanced="0"/>
    <cacheHierarchy uniqueName="[Table1].[Study_Hours]" caption="Study_Hours" attribute="1" defaultMemberUniqueName="[Table1].[Study_Hours].[All]" allUniqueName="[Table1].[Study_Hours].[All]" dimensionUniqueName="[Table1]" displayFolder="" count="0" memberValueDatatype="5" unbalanced="0"/>
    <cacheHierarchy uniqueName="[Table1].[Math_Marks]" caption="Math_Marks" attribute="1" defaultMemberUniqueName="[Table1].[Math_Marks].[All]" allUniqueName="[Table1].[Math_Marks].[All]" dimensionUniqueName="[Table1]" displayFolder="" count="0" memberValueDatatype="20" unbalanced="0"/>
    <cacheHierarchy uniqueName="[Table1].[Science_Marks]" caption="Science_Marks" attribute="1" defaultMemberUniqueName="[Table1].[Science_Marks].[All]" allUniqueName="[Table1].[Science_Marks].[All]" dimensionUniqueName="[Table1]" displayFolder="" count="0" memberValueDatatype="20" unbalanced="0"/>
    <cacheHierarchy uniqueName="[Table1].[English_Marks]" caption="English_Marks" attribute="1" defaultMemberUniqueName="[Table1].[English_Marks].[All]" allUniqueName="[Table1].[English_Marks].[All]" dimensionUniqueName="[Table1]" displayFolder="" count="0" memberValueDatatype="20" unbalanced="0"/>
    <cacheHierarchy uniqueName="[Table1].[Computer_Marks]" caption="Computer_Marks" attribute="1" defaultMemberUniqueName="[Table1].[Computer_Marks].[All]" allUniqueName="[Table1].[Computer_Marks].[All]" dimensionUniqueName="[Table1]" displayFolder="" count="0" memberValueDatatype="20" unbalanced="0"/>
    <cacheHierarchy uniqueName="[Table1].[Social_Marks]" caption="Social_Marks" attribute="1" defaultMemberUniqueName="[Table1].[Social_Marks].[All]" allUniqueName="[Table1].[Social_Marks].[All]" dimensionUniqueName="[Table1]" displayFolder="" count="0" memberValueDatatype="20" unbalanced="0"/>
    <cacheHierarchy uniqueName="[Table1].[Total_Marks]" caption="Total_Marks" attribute="1" defaultMemberUniqueName="[Table1].[Total_Marks].[All]" allUniqueName="[Table1].[Total_Marks].[All]" dimensionUniqueName="[Table1]" displayFolder="" count="0" memberValueDatatype="20" unbalanced="0"/>
    <cacheHierarchy uniqueName="[Table1].[Average]" caption="Average" attribute="1" defaultMemberUniqueName="[Table1].[Average].[All]" allUniqueName="[Table1].[Average].[All]" dimensionUniqueName="[Table1]" displayFolder="" count="0" memberValueDatatype="5" unbalanced="0"/>
    <cacheHierarchy uniqueName="[Table1].[Performance]" caption="Performance" attribute="1" defaultMemberUniqueName="[Table1].[Performance].[All]" allUniqueName="[Table1].[Performance].[All]" dimensionUniqueName="[Table1]" displayFolder="" count="0" memberValueDatatype="130" unbalanced="0"/>
    <cacheHierarchy uniqueName="[Table1].[FeedBack]" caption="FeedBack" attribute="1" defaultMemberUniqueName="[Table1].[FeedBack].[All]" allUniqueName="[Table1].[FeedBack].[All]" dimensionUniqueName="[Table1]" displayFolder="" count="0" memberValueDatatype="130" unbalanced="0"/>
    <cacheHierarchy uniqueName="[Table1  Study_Hours   FeedBack].[Study_Hours]" caption="Study_Hours" attribute="1" defaultMemberUniqueName="[Table1  Study_Hours   FeedBack].[Study_Hours].[All]" allUniqueName="[Table1  Study_Hours   FeedBack].[Study_Hours].[All]" dimensionUniqueName="[Table1  Study_Hours   FeedBack]" displayFolder="" count="0" memberValueDatatype="5" unbalanced="0"/>
    <cacheHierarchy uniqueName="[Table1  Study_Hours   FeedBack].[Math_Marks]" caption="Math_Marks" attribute="1" defaultMemberUniqueName="[Table1  Study_Hours   FeedBack].[Math_Marks].[All]" allUniqueName="[Table1  Study_Hours   FeedBack].[Math_Marks].[All]" dimensionUniqueName="[Table1  Study_Hours   FeedBack]" displayFolder="" count="0" memberValueDatatype="20" unbalanced="0"/>
    <cacheHierarchy uniqueName="[Table1  Study_Hours   FeedBack].[Science_Marks]" caption="Science_Marks" attribute="1" defaultMemberUniqueName="[Table1  Study_Hours   FeedBack].[Science_Marks].[All]" allUniqueName="[Table1  Study_Hours   FeedBack].[Science_Marks].[All]" dimensionUniqueName="[Table1  Study_Hours   FeedBack]" displayFolder="" count="0" memberValueDatatype="20" unbalanced="0"/>
    <cacheHierarchy uniqueName="[Table1  Study_Hours   FeedBack].[English_Marks]" caption="English_Marks" attribute="1" defaultMemberUniqueName="[Table1  Study_Hours   FeedBack].[English_Marks].[All]" allUniqueName="[Table1  Study_Hours   FeedBack].[English_Marks].[All]" dimensionUniqueName="[Table1  Study_Hours   FeedBack]" displayFolder="" count="0" memberValueDatatype="20" unbalanced="0"/>
    <cacheHierarchy uniqueName="[Table1  Study_Hours   FeedBack].[Computer_Marks]" caption="Computer_Marks" attribute="1" defaultMemberUniqueName="[Table1  Study_Hours   FeedBack].[Computer_Marks].[All]" allUniqueName="[Table1  Study_Hours   FeedBack].[Computer_Marks].[All]" dimensionUniqueName="[Table1  Study_Hours   FeedBack]" displayFolder="" count="0" memberValueDatatype="20" unbalanced="0"/>
    <cacheHierarchy uniqueName="[Table1  Study_Hours   FeedBack].[Social_Marks]" caption="Social_Marks" attribute="1" defaultMemberUniqueName="[Table1  Study_Hours   FeedBack].[Social_Marks].[All]" allUniqueName="[Table1  Study_Hours   FeedBack].[Social_Marks].[All]" dimensionUniqueName="[Table1  Study_Hours   FeedBack]" displayFolder="" count="0" memberValueDatatype="20" unbalanced="0"/>
    <cacheHierarchy uniqueName="[Table1  Study_Hours   FeedBack].[Total_Marks]" caption="Total_Marks" attribute="1" defaultMemberUniqueName="[Table1  Study_Hours   FeedBack].[Total_Marks].[All]" allUniqueName="[Table1  Study_Hours   FeedBack].[Total_Marks].[All]" dimensionUniqueName="[Table1  Study_Hours   FeedBack]" displayFolder="" count="0" memberValueDatatype="20" unbalanced="0"/>
    <cacheHierarchy uniqueName="[Table1  Study_Hours   FeedBack].[Average]" caption="Average" attribute="1" defaultMemberUniqueName="[Table1  Study_Hours   FeedBack].[Average].[All]" allUniqueName="[Table1  Study_Hours   FeedBack].[Average].[All]" dimensionUniqueName="[Table1  Study_Hours   FeedBack]" displayFolder="" count="0" memberValueDatatype="5" unbalanced="0"/>
    <cacheHierarchy uniqueName="[Table1  Study_Hours   FeedBack].[Performance]" caption="Performance" attribute="1" defaultMemberUniqueName="[Table1  Study_Hours   FeedBack].[Performance].[All]" allUniqueName="[Table1  Study_Hours   FeedBack].[Performance].[All]" dimensionUniqueName="[Table1  Study_Hours   FeedBack]" displayFolder="" count="0" memberValueDatatype="130" unbalanced="0"/>
    <cacheHierarchy uniqueName="[Table1  Study_Hours   FeedBack].[FeedBack]" caption="FeedBack" attribute="1" defaultMemberUniqueName="[Table1  Study_Hours   FeedBack].[FeedBack].[All]" allUniqueName="[Table1  Study_Hours   FeedBack].[FeedBack].[All]" dimensionUniqueName="[Table1  Study_Hours   FeedBack]" displayFolder="" count="0" memberValueDatatype="130" unbalanced="0"/>
    <cacheHierarchy uniqueName="[Measures].[__XL_Count Table1  Study_Hours   FeedBack]" caption="__XL_Count Table1  Study_Hours   FeedBack" measure="1" displayFolder="" measureGroup="Table1  Study_Hours   FeedBack" count="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tudent_ID]" caption="Distinct Count of Student_ID"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4"/>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5"/>
        </ext>
      </extLst>
    </cacheHierarchy>
    <cacheHierarchy uniqueName="[Measures].[Sum of Total_Marks]" caption="Sum of Total_Marks" measure="1" displayFolder="" measureGroup="Range" count="0" hidden="1">
      <extLst>
        <ext xmlns:x15="http://schemas.microsoft.com/office/spreadsheetml/2010/11/main" uri="{B97F6D7D-B522-45F9-BDA1-12C45D357490}">
          <x15:cacheHierarchy aggregatedColumn="13"/>
        </ext>
      </extLst>
    </cacheHierarchy>
    <cacheHierarchy uniqueName="[Measures].[Average of Total_Marks]" caption="Average of Total_Marks" measure="1" displayFolder="" measureGroup="Range" count="0" hidden="1">
      <extLst>
        <ext xmlns:x15="http://schemas.microsoft.com/office/spreadsheetml/2010/11/main" uri="{B97F6D7D-B522-45F9-BDA1-12C45D357490}">
          <x15:cacheHierarchy aggregatedColumn="13"/>
        </ext>
      </extLst>
    </cacheHierarchy>
    <cacheHierarchy uniqueName="[Measures].[Sum of Attendance_Percentage]" caption="Sum of Attendance_Percentage" measure="1" displayFolder="" measureGroup="Table1" count="0" hidden="1">
      <extLst>
        <ext xmlns:x15="http://schemas.microsoft.com/office/spreadsheetml/2010/11/main" uri="{B97F6D7D-B522-45F9-BDA1-12C45D357490}">
          <x15:cacheHierarchy aggregatedColumn="23"/>
        </ext>
      </extLst>
    </cacheHierarchy>
    <cacheHierarchy uniqueName="[Measures].[Average of Attendance_Percentage]" caption="Average of Attendance_Percentage" measure="1" displayFolder="" measureGroup="Table1" count="0" hidden="1">
      <extLst>
        <ext xmlns:x15="http://schemas.microsoft.com/office/spreadsheetml/2010/11/main" uri="{B97F6D7D-B522-45F9-BDA1-12C45D357490}">
          <x15:cacheHierarchy aggregatedColumn="23"/>
        </ext>
      </extLst>
    </cacheHierarchy>
    <cacheHierarchy uniqueName="[Measures].[Sum of Total_Marks 2]" caption="Sum of Total_Marks 2" measure="1" displayFolder="" measureGroup="Table1"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Average]" caption="Sum of Average" measure="1" displayFolder="" measureGroup="Table1" count="0" hidden="1">
      <extLst>
        <ext xmlns:x15="http://schemas.microsoft.com/office/spreadsheetml/2010/11/main" uri="{B97F6D7D-B522-45F9-BDA1-12C45D357490}">
          <x15:cacheHierarchy aggregatedColumn="31"/>
        </ext>
      </extLst>
    </cacheHierarchy>
    <cacheHierarchy uniqueName="[Measures].[Average of Average]" caption="Average of Average" measure="1" displayFolder="" measureGroup="Table1" count="0" hidden="1">
      <extLst>
        <ext xmlns:x15="http://schemas.microsoft.com/office/spreadsheetml/2010/11/main" uri="{B97F6D7D-B522-45F9-BDA1-12C45D357490}">
          <x15:cacheHierarchy aggregatedColumn="31"/>
        </ext>
      </extLst>
    </cacheHierarchy>
    <cacheHierarchy uniqueName="[Measures].[Count of Student_ID 2]" caption="Count of Student_ID 2" measure="1" displayFolder="" measureGroup="Table1"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Range" uniqueName="[Range]" caption="Range"/>
    <dimension name="Table1" uniqueName="[Table1]" caption="Table1"/>
    <dimension name="Table1  Study_Hours   FeedBack" uniqueName="[Table1  Study_Hours   FeedBack]" caption="Table1  Study_Hours   FeedBack"/>
  </dimensions>
  <measureGroups count="3">
    <measureGroup name="Range" caption="Range"/>
    <measureGroup name="Table1" caption="Table1"/>
    <measureGroup name="Table1  Study_Hours   FeedBack" caption="Table1  Study_Hours   FeedBack"/>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ree N" refreshedDate="46283.789813888892" backgroundQuery="1" createdVersion="8" refreshedVersion="8" minRefreshableVersion="3" recordCount="0" supportSubquery="1" supportAdvancedDrill="1" xr:uid="{07B9772C-BF1A-4643-ACE6-9A2CB3B0AA7F}">
  <cacheSource type="external" connectionId="1"/>
  <cacheFields count="3">
    <cacheField name="[Table1].[Gender].[Gender]" caption="Gender" numFmtId="0" hierarchy="19" level="1">
      <sharedItems count="2">
        <s v="Female"/>
        <s v="Male"/>
      </sharedItems>
    </cacheField>
    <cacheField name="[Measures].[Average of Average]" caption="Average of Average" numFmtId="0" hierarchy="60" level="32767"/>
    <cacheField name="[Table1].[Department].[Department]" caption="Department" numFmtId="0" hierarchy="21" level="1">
      <sharedItems containsSemiMixedTypes="0" containsNonDate="0" containsString="0"/>
    </cacheField>
  </cacheFields>
  <cacheHierarchies count="62">
    <cacheHierarchy uniqueName="[Range].[Student_ID]" caption="Student_ID" attribute="1" defaultMemberUniqueName="[Range].[Student_ID].[All]" allUniqueName="[Range].[Student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Attendance_Percentage]" caption="Attendance_Percentage" attribute="1" defaultMemberUniqueName="[Range].[Attendance_Percentage].[All]" allUniqueName="[Range].[Attendance_Percentage].[All]" dimensionUniqueName="[Range]" displayFolder="" count="0" memberValueDatatype="20" unbalanced="0"/>
    <cacheHierarchy uniqueName="[Range].[Study_Hours]" caption="Study_Hours" attribute="1" defaultMemberUniqueName="[Range].[Study_Hours].[All]" allUniqueName="[Range].[Study_Hours].[All]" dimensionUniqueName="[Range]" displayFolder="" count="0" memberValueDatatype="5" unbalanced="0"/>
    <cacheHierarchy uniqueName="[Range].[Math_Marks]" caption="Math_Marks" attribute="1" defaultMemberUniqueName="[Range].[Math_Marks].[All]" allUniqueName="[Range].[Math_Marks].[All]" dimensionUniqueName="[Range]" displayFolder="" count="0" memberValueDatatype="20" unbalanced="0"/>
    <cacheHierarchy uniqueName="[Range].[Science_Marks]" caption="Science_Marks" attribute="1" defaultMemberUniqueName="[Range].[Science_Marks].[All]" allUniqueName="[Range].[Science_Marks].[All]" dimensionUniqueName="[Range]" displayFolder="" count="0" memberValueDatatype="20" unbalanced="0"/>
    <cacheHierarchy uniqueName="[Range].[English_Marks]" caption="English_Marks" attribute="1" defaultMemberUniqueName="[Range].[English_Marks].[All]" allUniqueName="[Range].[English_Marks].[All]" dimensionUniqueName="[Range]" displayFolder="" count="0" memberValueDatatype="20" unbalanced="0"/>
    <cacheHierarchy uniqueName="[Range].[Computer_Marks]" caption="Computer_Marks" attribute="1" defaultMemberUniqueName="[Range].[Computer_Marks].[All]" allUniqueName="[Range].[Computer_Marks].[All]" dimensionUniqueName="[Range]" displayFolder="" count="0" memberValueDatatype="20" unbalanced="0"/>
    <cacheHierarchy uniqueName="[Range].[Social_Marks]" caption="Social_Marks" attribute="1" defaultMemberUniqueName="[Range].[Social_Marks].[All]" allUniqueName="[Range].[Social_Marks].[All]" dimensionUniqueName="[Range]" displayFolder="" count="0" memberValueDatatype="20" unbalanced="0"/>
    <cacheHierarchy uniqueName="[Range].[Total_Marks]" caption="Total_Marks" attribute="1" defaultMemberUniqueName="[Range].[Total_Marks].[All]" allUniqueName="[Range].[Total_Marks].[All]" dimensionUniqueName="[Range]" displayFolder="" count="0" memberValueDatatype="20" unbalanced="0"/>
    <cacheHierarchy uniqueName="[Range].[Average]" caption="Average" attribute="1" defaultMemberUniqueName="[Range].[Average].[All]" allUniqueName="[Range].[Average].[All]" dimensionUniqueName="[Range]" displayFolder="" count="0" memberValueDatatype="5" unbalanced="0"/>
    <cacheHierarchy uniqueName="[Range].[Performance]" caption="Performance" attribute="1" defaultMemberUniqueName="[Range].[Performance].[All]" allUniqueName="[Range].[Performance].[All]" dimensionUniqueName="[Range]" displayFolder="" count="0" memberValueDatatype="130" unbalanced="0"/>
    <cacheHierarchy uniqueName="[Range].[FeedBack]" caption="FeedBack" attribute="1" defaultMemberUniqueName="[Range].[FeedBack].[All]" allUniqueName="[Range].[FeedBack].[All]" dimensionUniqueName="[Range]" displayFolder="" count="0" memberValueDatatype="130" unbalanced="0"/>
    <cacheHierarchy uniqueName="[Table1].[Student_ID]" caption="Student_ID" attribute="1" defaultMemberUniqueName="[Table1].[Student_ID].[All]" allUniqueName="[Table1].[Student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2" memberValueDatatype="130" unbalanced="0"/>
    <cacheHierarchy uniqueName="[Table1].[Attendance_Percentage]" caption="Attendance_Percentage" attribute="1" defaultMemberUniqueName="[Table1].[Attendance_Percentage].[All]" allUniqueName="[Table1].[Attendance_Percentage].[All]" dimensionUniqueName="[Table1]" displayFolder="" count="0" memberValueDatatype="20" unbalanced="0"/>
    <cacheHierarchy uniqueName="[Table1].[Study_Hours]" caption="Study_Hours" attribute="1" defaultMemberUniqueName="[Table1].[Study_Hours].[All]" allUniqueName="[Table1].[Study_Hours].[All]" dimensionUniqueName="[Table1]" displayFolder="" count="0" memberValueDatatype="5" unbalanced="0"/>
    <cacheHierarchy uniqueName="[Table1].[Math_Marks]" caption="Math_Marks" attribute="1" defaultMemberUniqueName="[Table1].[Math_Marks].[All]" allUniqueName="[Table1].[Math_Marks].[All]" dimensionUniqueName="[Table1]" displayFolder="" count="0" memberValueDatatype="20" unbalanced="0"/>
    <cacheHierarchy uniqueName="[Table1].[Science_Marks]" caption="Science_Marks" attribute="1" defaultMemberUniqueName="[Table1].[Science_Marks].[All]" allUniqueName="[Table1].[Science_Marks].[All]" dimensionUniqueName="[Table1]" displayFolder="" count="0" memberValueDatatype="20" unbalanced="0"/>
    <cacheHierarchy uniqueName="[Table1].[English_Marks]" caption="English_Marks" attribute="1" defaultMemberUniqueName="[Table1].[English_Marks].[All]" allUniqueName="[Table1].[English_Marks].[All]" dimensionUniqueName="[Table1]" displayFolder="" count="0" memberValueDatatype="20" unbalanced="0"/>
    <cacheHierarchy uniqueName="[Table1].[Computer_Marks]" caption="Computer_Marks" attribute="1" defaultMemberUniqueName="[Table1].[Computer_Marks].[All]" allUniqueName="[Table1].[Computer_Marks].[All]" dimensionUniqueName="[Table1]" displayFolder="" count="0" memberValueDatatype="20" unbalanced="0"/>
    <cacheHierarchy uniqueName="[Table1].[Social_Marks]" caption="Social_Marks" attribute="1" defaultMemberUniqueName="[Table1].[Social_Marks].[All]" allUniqueName="[Table1].[Social_Marks].[All]" dimensionUniqueName="[Table1]" displayFolder="" count="0" memberValueDatatype="20" unbalanced="0"/>
    <cacheHierarchy uniqueName="[Table1].[Total_Marks]" caption="Total_Marks" attribute="1" defaultMemberUniqueName="[Table1].[Total_Marks].[All]" allUniqueName="[Table1].[Total_Marks].[All]" dimensionUniqueName="[Table1]" displayFolder="" count="0" memberValueDatatype="20" unbalanced="0"/>
    <cacheHierarchy uniqueName="[Table1].[Average]" caption="Average" attribute="1" defaultMemberUniqueName="[Table1].[Average].[All]" allUniqueName="[Table1].[Average].[All]" dimensionUniqueName="[Table1]" displayFolder="" count="0" memberValueDatatype="5" unbalanced="0"/>
    <cacheHierarchy uniqueName="[Table1].[Performance]" caption="Performance" attribute="1" defaultMemberUniqueName="[Table1].[Performance].[All]" allUniqueName="[Table1].[Performance].[All]" dimensionUniqueName="[Table1]" displayFolder="" count="0" memberValueDatatype="130" unbalanced="0"/>
    <cacheHierarchy uniqueName="[Table1].[FeedBack]" caption="FeedBack" attribute="1" defaultMemberUniqueName="[Table1].[FeedBack].[All]" allUniqueName="[Table1].[FeedBack].[All]" dimensionUniqueName="[Table1]" displayFolder="" count="0" memberValueDatatype="130" unbalanced="0"/>
    <cacheHierarchy uniqueName="[Table1  Study_Hours   FeedBack].[Study_Hours]" caption="Study_Hours" attribute="1" defaultMemberUniqueName="[Table1  Study_Hours   FeedBack].[Study_Hours].[All]" allUniqueName="[Table1  Study_Hours   FeedBack].[Study_Hours].[All]" dimensionUniqueName="[Table1  Study_Hours   FeedBack]" displayFolder="" count="0" memberValueDatatype="5" unbalanced="0"/>
    <cacheHierarchy uniqueName="[Table1  Study_Hours   FeedBack].[Math_Marks]" caption="Math_Marks" attribute="1" defaultMemberUniqueName="[Table1  Study_Hours   FeedBack].[Math_Marks].[All]" allUniqueName="[Table1  Study_Hours   FeedBack].[Math_Marks].[All]" dimensionUniqueName="[Table1  Study_Hours   FeedBack]" displayFolder="" count="0" memberValueDatatype="20" unbalanced="0"/>
    <cacheHierarchy uniqueName="[Table1  Study_Hours   FeedBack].[Science_Marks]" caption="Science_Marks" attribute="1" defaultMemberUniqueName="[Table1  Study_Hours   FeedBack].[Science_Marks].[All]" allUniqueName="[Table1  Study_Hours   FeedBack].[Science_Marks].[All]" dimensionUniqueName="[Table1  Study_Hours   FeedBack]" displayFolder="" count="0" memberValueDatatype="20" unbalanced="0"/>
    <cacheHierarchy uniqueName="[Table1  Study_Hours   FeedBack].[English_Marks]" caption="English_Marks" attribute="1" defaultMemberUniqueName="[Table1  Study_Hours   FeedBack].[English_Marks].[All]" allUniqueName="[Table1  Study_Hours   FeedBack].[English_Marks].[All]" dimensionUniqueName="[Table1  Study_Hours   FeedBack]" displayFolder="" count="0" memberValueDatatype="20" unbalanced="0"/>
    <cacheHierarchy uniqueName="[Table1  Study_Hours   FeedBack].[Computer_Marks]" caption="Computer_Marks" attribute="1" defaultMemberUniqueName="[Table1  Study_Hours   FeedBack].[Computer_Marks].[All]" allUniqueName="[Table1  Study_Hours   FeedBack].[Computer_Marks].[All]" dimensionUniqueName="[Table1  Study_Hours   FeedBack]" displayFolder="" count="0" memberValueDatatype="20" unbalanced="0"/>
    <cacheHierarchy uniqueName="[Table1  Study_Hours   FeedBack].[Social_Marks]" caption="Social_Marks" attribute="1" defaultMemberUniqueName="[Table1  Study_Hours   FeedBack].[Social_Marks].[All]" allUniqueName="[Table1  Study_Hours   FeedBack].[Social_Marks].[All]" dimensionUniqueName="[Table1  Study_Hours   FeedBack]" displayFolder="" count="0" memberValueDatatype="20" unbalanced="0"/>
    <cacheHierarchy uniqueName="[Table1  Study_Hours   FeedBack].[Total_Marks]" caption="Total_Marks" attribute="1" defaultMemberUniqueName="[Table1  Study_Hours   FeedBack].[Total_Marks].[All]" allUniqueName="[Table1  Study_Hours   FeedBack].[Total_Marks].[All]" dimensionUniqueName="[Table1  Study_Hours   FeedBack]" displayFolder="" count="0" memberValueDatatype="20" unbalanced="0"/>
    <cacheHierarchy uniqueName="[Table1  Study_Hours   FeedBack].[Average]" caption="Average" attribute="1" defaultMemberUniqueName="[Table1  Study_Hours   FeedBack].[Average].[All]" allUniqueName="[Table1  Study_Hours   FeedBack].[Average].[All]" dimensionUniqueName="[Table1  Study_Hours   FeedBack]" displayFolder="" count="0" memberValueDatatype="5" unbalanced="0"/>
    <cacheHierarchy uniqueName="[Table1  Study_Hours   FeedBack].[Performance]" caption="Performance" attribute="1" defaultMemberUniqueName="[Table1  Study_Hours   FeedBack].[Performance].[All]" allUniqueName="[Table1  Study_Hours   FeedBack].[Performance].[All]" dimensionUniqueName="[Table1  Study_Hours   FeedBack]" displayFolder="" count="0" memberValueDatatype="130" unbalanced="0"/>
    <cacheHierarchy uniqueName="[Table1  Study_Hours   FeedBack].[FeedBack]" caption="FeedBack" attribute="1" defaultMemberUniqueName="[Table1  Study_Hours   FeedBack].[FeedBack].[All]" allUniqueName="[Table1  Study_Hours   FeedBack].[FeedBack].[All]" dimensionUniqueName="[Table1  Study_Hours   FeedBack]" displayFolder="" count="0" memberValueDatatype="130" unbalanced="0"/>
    <cacheHierarchy uniqueName="[Measures].[__XL_Count Table1  Study_Hours   FeedBack]" caption="__XL_Count Table1  Study_Hours   FeedBack" measure="1" displayFolder="" measureGroup="Table1  Study_Hours   FeedBack" count="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tudent_ID]" caption="Distinct Count of Student_ID"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4"/>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5"/>
        </ext>
      </extLst>
    </cacheHierarchy>
    <cacheHierarchy uniqueName="[Measures].[Sum of Total_Marks]" caption="Sum of Total_Marks" measure="1" displayFolder="" measureGroup="Range" count="0" hidden="1">
      <extLst>
        <ext xmlns:x15="http://schemas.microsoft.com/office/spreadsheetml/2010/11/main" uri="{B97F6D7D-B522-45F9-BDA1-12C45D357490}">
          <x15:cacheHierarchy aggregatedColumn="13"/>
        </ext>
      </extLst>
    </cacheHierarchy>
    <cacheHierarchy uniqueName="[Measures].[Average of Total_Marks]" caption="Average of Total_Marks" measure="1" displayFolder="" measureGroup="Range" count="0" hidden="1">
      <extLst>
        <ext xmlns:x15="http://schemas.microsoft.com/office/spreadsheetml/2010/11/main" uri="{B97F6D7D-B522-45F9-BDA1-12C45D357490}">
          <x15:cacheHierarchy aggregatedColumn="13"/>
        </ext>
      </extLst>
    </cacheHierarchy>
    <cacheHierarchy uniqueName="[Measures].[Sum of Attendance_Percentage]" caption="Sum of Attendance_Percentage" measure="1" displayFolder="" measureGroup="Table1" count="0" hidden="1">
      <extLst>
        <ext xmlns:x15="http://schemas.microsoft.com/office/spreadsheetml/2010/11/main" uri="{B97F6D7D-B522-45F9-BDA1-12C45D357490}">
          <x15:cacheHierarchy aggregatedColumn="23"/>
        </ext>
      </extLst>
    </cacheHierarchy>
    <cacheHierarchy uniqueName="[Measures].[Average of Attendance_Percentage]" caption="Average of Attendance_Percentage" measure="1" displayFolder="" measureGroup="Table1" count="0" hidden="1">
      <extLst>
        <ext xmlns:x15="http://schemas.microsoft.com/office/spreadsheetml/2010/11/main" uri="{B97F6D7D-B522-45F9-BDA1-12C45D357490}">
          <x15:cacheHierarchy aggregatedColumn="23"/>
        </ext>
      </extLst>
    </cacheHierarchy>
    <cacheHierarchy uniqueName="[Measures].[Sum of Total_Marks 2]" caption="Sum of Total_Marks 2" measure="1" displayFolder="" measureGroup="Table1" count="0" hidden="1">
      <extLst>
        <ext xmlns:x15="http://schemas.microsoft.com/office/spreadsheetml/2010/11/main" uri="{B97F6D7D-B522-45F9-BDA1-12C45D357490}">
          <x15:cacheHierarchy aggregatedColumn="30"/>
        </ext>
      </extLst>
    </cacheHierarchy>
    <cacheHierarchy uniqueName="[Measures].[Sum of Average]" caption="Sum of Average" measure="1" displayFolder="" measureGroup="Table1" count="0" hidden="1">
      <extLst>
        <ext xmlns:x15="http://schemas.microsoft.com/office/spreadsheetml/2010/11/main" uri="{B97F6D7D-B522-45F9-BDA1-12C45D357490}">
          <x15:cacheHierarchy aggregatedColumn="31"/>
        </ext>
      </extLst>
    </cacheHierarchy>
    <cacheHierarchy uniqueName="[Measures].[Average of Average]" caption="Average of Average" measure="1" displayFolder="" measureGroup="Table1"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Student_ID 2]" caption="Count of Student_ID 2" measure="1" displayFolder="" measureGroup="Table1"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Range" uniqueName="[Range]" caption="Range"/>
    <dimension name="Table1" uniqueName="[Table1]" caption="Table1"/>
    <dimension name="Table1  Study_Hours   FeedBack" uniqueName="[Table1  Study_Hours   FeedBack]" caption="Table1  Study_Hours   FeedBack"/>
  </dimensions>
  <measureGroups count="3">
    <measureGroup name="Range" caption="Range"/>
    <measureGroup name="Table1" caption="Table1"/>
    <measureGroup name="Table1  Study_Hours   FeedBack" caption="Table1  Study_Hours   FeedBack"/>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ree N" refreshedDate="46283.800288078703" backgroundQuery="1" createdVersion="8" refreshedVersion="8" minRefreshableVersion="3" recordCount="0" supportSubquery="1" supportAdvancedDrill="1" xr:uid="{C9A05DA9-8CE5-4795-8E30-3F49251915AD}">
  <cacheSource type="external" connectionId="1"/>
  <cacheFields count="4">
    <cacheField name="[Measures].[Count of Student_ID 2]" caption="Count of Student_ID 2" numFmtId="0" hierarchy="61" level="32767"/>
    <cacheField name="[Measures].[Sum of Total_Marks 2]" caption="Sum of Total_Marks 2" numFmtId="0" hierarchy="58" level="32767"/>
    <cacheField name="[Measures].[Sum of Average]" caption="Sum of Average" numFmtId="0" hierarchy="59" level="32767"/>
    <cacheField name="[Measures].[Sum of Attendance_Percentage]" caption="Sum of Attendance_Percentage" numFmtId="0" hierarchy="56" level="32767"/>
  </cacheFields>
  <cacheHierarchies count="62">
    <cacheHierarchy uniqueName="[Range].[Student_ID]" caption="Student_ID" attribute="1" defaultMemberUniqueName="[Range].[Student_ID].[All]" allUniqueName="[Range].[Student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Attendance_Percentage]" caption="Attendance_Percentage" attribute="1" defaultMemberUniqueName="[Range].[Attendance_Percentage].[All]" allUniqueName="[Range].[Attendance_Percentage].[All]" dimensionUniqueName="[Range]" displayFolder="" count="0" memberValueDatatype="20" unbalanced="0"/>
    <cacheHierarchy uniqueName="[Range].[Study_Hours]" caption="Study_Hours" attribute="1" defaultMemberUniqueName="[Range].[Study_Hours].[All]" allUniqueName="[Range].[Study_Hours].[All]" dimensionUniqueName="[Range]" displayFolder="" count="0" memberValueDatatype="5" unbalanced="0"/>
    <cacheHierarchy uniqueName="[Range].[Math_Marks]" caption="Math_Marks" attribute="1" defaultMemberUniqueName="[Range].[Math_Marks].[All]" allUniqueName="[Range].[Math_Marks].[All]" dimensionUniqueName="[Range]" displayFolder="" count="0" memberValueDatatype="20" unbalanced="0"/>
    <cacheHierarchy uniqueName="[Range].[Science_Marks]" caption="Science_Marks" attribute="1" defaultMemberUniqueName="[Range].[Science_Marks].[All]" allUniqueName="[Range].[Science_Marks].[All]" dimensionUniqueName="[Range]" displayFolder="" count="0" memberValueDatatype="20" unbalanced="0"/>
    <cacheHierarchy uniqueName="[Range].[English_Marks]" caption="English_Marks" attribute="1" defaultMemberUniqueName="[Range].[English_Marks].[All]" allUniqueName="[Range].[English_Marks].[All]" dimensionUniqueName="[Range]" displayFolder="" count="0" memberValueDatatype="20" unbalanced="0"/>
    <cacheHierarchy uniqueName="[Range].[Computer_Marks]" caption="Computer_Marks" attribute="1" defaultMemberUniqueName="[Range].[Computer_Marks].[All]" allUniqueName="[Range].[Computer_Marks].[All]" dimensionUniqueName="[Range]" displayFolder="" count="0" memberValueDatatype="20" unbalanced="0"/>
    <cacheHierarchy uniqueName="[Range].[Social_Marks]" caption="Social_Marks" attribute="1" defaultMemberUniqueName="[Range].[Social_Marks].[All]" allUniqueName="[Range].[Social_Marks].[All]" dimensionUniqueName="[Range]" displayFolder="" count="0" memberValueDatatype="20" unbalanced="0"/>
    <cacheHierarchy uniqueName="[Range].[Total_Marks]" caption="Total_Marks" attribute="1" defaultMemberUniqueName="[Range].[Total_Marks].[All]" allUniqueName="[Range].[Total_Marks].[All]" dimensionUniqueName="[Range]" displayFolder="" count="0" memberValueDatatype="20" unbalanced="0"/>
    <cacheHierarchy uniqueName="[Range].[Average]" caption="Average" attribute="1" defaultMemberUniqueName="[Range].[Average].[All]" allUniqueName="[Range].[Average].[All]" dimensionUniqueName="[Range]" displayFolder="" count="0" memberValueDatatype="5" unbalanced="0"/>
    <cacheHierarchy uniqueName="[Range].[Performance]" caption="Performance" attribute="1" defaultMemberUniqueName="[Range].[Performance].[All]" allUniqueName="[Range].[Performance].[All]" dimensionUniqueName="[Range]" displayFolder="" count="0" memberValueDatatype="130" unbalanced="0"/>
    <cacheHierarchy uniqueName="[Range].[FeedBack]" caption="FeedBack" attribute="1" defaultMemberUniqueName="[Range].[FeedBack].[All]" allUniqueName="[Range].[FeedBack].[All]" dimensionUniqueName="[Range]" displayFolder="" count="0" memberValueDatatype="130" unbalanced="0"/>
    <cacheHierarchy uniqueName="[Table1].[Student_ID]" caption="Student_ID" attribute="1" defaultMemberUniqueName="[Table1].[Student_ID].[All]" allUniqueName="[Table1].[Student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Attendance_Percentage]" caption="Attendance_Percentage" attribute="1" defaultMemberUniqueName="[Table1].[Attendance_Percentage].[All]" allUniqueName="[Table1].[Attendance_Percentage].[All]" dimensionUniqueName="[Table1]" displayFolder="" count="0" memberValueDatatype="20" unbalanced="0"/>
    <cacheHierarchy uniqueName="[Table1].[Study_Hours]" caption="Study_Hours" attribute="1" defaultMemberUniqueName="[Table1].[Study_Hours].[All]" allUniqueName="[Table1].[Study_Hours].[All]" dimensionUniqueName="[Table1]" displayFolder="" count="0" memberValueDatatype="5" unbalanced="0"/>
    <cacheHierarchy uniqueName="[Table1].[Math_Marks]" caption="Math_Marks" attribute="1" defaultMemberUniqueName="[Table1].[Math_Marks].[All]" allUniqueName="[Table1].[Math_Marks].[All]" dimensionUniqueName="[Table1]" displayFolder="" count="0" memberValueDatatype="20" unbalanced="0"/>
    <cacheHierarchy uniqueName="[Table1].[Science_Marks]" caption="Science_Marks" attribute="1" defaultMemberUniqueName="[Table1].[Science_Marks].[All]" allUniqueName="[Table1].[Science_Marks].[All]" dimensionUniqueName="[Table1]" displayFolder="" count="0" memberValueDatatype="20" unbalanced="0"/>
    <cacheHierarchy uniqueName="[Table1].[English_Marks]" caption="English_Marks" attribute="1" defaultMemberUniqueName="[Table1].[English_Marks].[All]" allUniqueName="[Table1].[English_Marks].[All]" dimensionUniqueName="[Table1]" displayFolder="" count="0" memberValueDatatype="20" unbalanced="0"/>
    <cacheHierarchy uniqueName="[Table1].[Computer_Marks]" caption="Computer_Marks" attribute="1" defaultMemberUniqueName="[Table1].[Computer_Marks].[All]" allUniqueName="[Table1].[Computer_Marks].[All]" dimensionUniqueName="[Table1]" displayFolder="" count="0" memberValueDatatype="20" unbalanced="0"/>
    <cacheHierarchy uniqueName="[Table1].[Social_Marks]" caption="Social_Marks" attribute="1" defaultMemberUniqueName="[Table1].[Social_Marks].[All]" allUniqueName="[Table1].[Social_Marks].[All]" dimensionUniqueName="[Table1]" displayFolder="" count="0" memberValueDatatype="20" unbalanced="0"/>
    <cacheHierarchy uniqueName="[Table1].[Total_Marks]" caption="Total_Marks" attribute="1" defaultMemberUniqueName="[Table1].[Total_Marks].[All]" allUniqueName="[Table1].[Total_Marks].[All]" dimensionUniqueName="[Table1]" displayFolder="" count="0" memberValueDatatype="20" unbalanced="0"/>
    <cacheHierarchy uniqueName="[Table1].[Average]" caption="Average" attribute="1" defaultMemberUniqueName="[Table1].[Average].[All]" allUniqueName="[Table1].[Average].[All]" dimensionUniqueName="[Table1]" displayFolder="" count="0" memberValueDatatype="5" unbalanced="0"/>
    <cacheHierarchy uniqueName="[Table1].[Performance]" caption="Performance" attribute="1" defaultMemberUniqueName="[Table1].[Performance].[All]" allUniqueName="[Table1].[Performance].[All]" dimensionUniqueName="[Table1]" displayFolder="" count="0" memberValueDatatype="130" unbalanced="0"/>
    <cacheHierarchy uniqueName="[Table1].[FeedBack]" caption="FeedBack" attribute="1" defaultMemberUniqueName="[Table1].[FeedBack].[All]" allUniqueName="[Table1].[FeedBack].[All]" dimensionUniqueName="[Table1]" displayFolder="" count="2" memberValueDatatype="130" unbalanced="0"/>
    <cacheHierarchy uniqueName="[Table1  Study_Hours   FeedBack].[Study_Hours]" caption="Study_Hours" attribute="1" defaultMemberUniqueName="[Table1  Study_Hours   FeedBack].[Study_Hours].[All]" allUniqueName="[Table1  Study_Hours   FeedBack].[Study_Hours].[All]" dimensionUniqueName="[Table1  Study_Hours   FeedBack]" displayFolder="" count="0" memberValueDatatype="5" unbalanced="0"/>
    <cacheHierarchy uniqueName="[Table1  Study_Hours   FeedBack].[Math_Marks]" caption="Math_Marks" attribute="1" defaultMemberUniqueName="[Table1  Study_Hours   FeedBack].[Math_Marks].[All]" allUniqueName="[Table1  Study_Hours   FeedBack].[Math_Marks].[All]" dimensionUniqueName="[Table1  Study_Hours   FeedBack]" displayFolder="" count="0" memberValueDatatype="20" unbalanced="0"/>
    <cacheHierarchy uniqueName="[Table1  Study_Hours   FeedBack].[Science_Marks]" caption="Science_Marks" attribute="1" defaultMemberUniqueName="[Table1  Study_Hours   FeedBack].[Science_Marks].[All]" allUniqueName="[Table1  Study_Hours   FeedBack].[Science_Marks].[All]" dimensionUniqueName="[Table1  Study_Hours   FeedBack]" displayFolder="" count="0" memberValueDatatype="20" unbalanced="0"/>
    <cacheHierarchy uniqueName="[Table1  Study_Hours   FeedBack].[English_Marks]" caption="English_Marks" attribute="1" defaultMemberUniqueName="[Table1  Study_Hours   FeedBack].[English_Marks].[All]" allUniqueName="[Table1  Study_Hours   FeedBack].[English_Marks].[All]" dimensionUniqueName="[Table1  Study_Hours   FeedBack]" displayFolder="" count="0" memberValueDatatype="20" unbalanced="0"/>
    <cacheHierarchy uniqueName="[Table1  Study_Hours   FeedBack].[Computer_Marks]" caption="Computer_Marks" attribute="1" defaultMemberUniqueName="[Table1  Study_Hours   FeedBack].[Computer_Marks].[All]" allUniqueName="[Table1  Study_Hours   FeedBack].[Computer_Marks].[All]" dimensionUniqueName="[Table1  Study_Hours   FeedBack]" displayFolder="" count="0" memberValueDatatype="20" unbalanced="0"/>
    <cacheHierarchy uniqueName="[Table1  Study_Hours   FeedBack].[Social_Marks]" caption="Social_Marks" attribute="1" defaultMemberUniqueName="[Table1  Study_Hours   FeedBack].[Social_Marks].[All]" allUniqueName="[Table1  Study_Hours   FeedBack].[Social_Marks].[All]" dimensionUniqueName="[Table1  Study_Hours   FeedBack]" displayFolder="" count="0" memberValueDatatype="20" unbalanced="0"/>
    <cacheHierarchy uniqueName="[Table1  Study_Hours   FeedBack].[Total_Marks]" caption="Total_Marks" attribute="1" defaultMemberUniqueName="[Table1  Study_Hours   FeedBack].[Total_Marks].[All]" allUniqueName="[Table1  Study_Hours   FeedBack].[Total_Marks].[All]" dimensionUniqueName="[Table1  Study_Hours   FeedBack]" displayFolder="" count="0" memberValueDatatype="20" unbalanced="0"/>
    <cacheHierarchy uniqueName="[Table1  Study_Hours   FeedBack].[Average]" caption="Average" attribute="1" defaultMemberUniqueName="[Table1  Study_Hours   FeedBack].[Average].[All]" allUniqueName="[Table1  Study_Hours   FeedBack].[Average].[All]" dimensionUniqueName="[Table1  Study_Hours   FeedBack]" displayFolder="" count="0" memberValueDatatype="5" unbalanced="0"/>
    <cacheHierarchy uniqueName="[Table1  Study_Hours   FeedBack].[Performance]" caption="Performance" attribute="1" defaultMemberUniqueName="[Table1  Study_Hours   FeedBack].[Performance].[All]" allUniqueName="[Table1  Study_Hours   FeedBack].[Performance].[All]" dimensionUniqueName="[Table1  Study_Hours   FeedBack]" displayFolder="" count="0" memberValueDatatype="130" unbalanced="0"/>
    <cacheHierarchy uniqueName="[Table1  Study_Hours   FeedBack].[FeedBack]" caption="FeedBack" attribute="1" defaultMemberUniqueName="[Table1  Study_Hours   FeedBack].[FeedBack].[All]" allUniqueName="[Table1  Study_Hours   FeedBack].[FeedBack].[All]" dimensionUniqueName="[Table1  Study_Hours   FeedBack]" displayFolder="" count="0" memberValueDatatype="130" unbalanced="0"/>
    <cacheHierarchy uniqueName="[Measures].[__XL_Count Table1  Study_Hours   FeedBack]" caption="__XL_Count Table1  Study_Hours   FeedBack" measure="1" displayFolder="" measureGroup="Table1  Study_Hours   FeedBack" count="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tudent_ID]" caption="Distinct Count of Student_ID"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4"/>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5"/>
        </ext>
      </extLst>
    </cacheHierarchy>
    <cacheHierarchy uniqueName="[Measures].[Sum of Total_Marks]" caption="Sum of Total_Marks" measure="1" displayFolder="" measureGroup="Range" count="0" hidden="1">
      <extLst>
        <ext xmlns:x15="http://schemas.microsoft.com/office/spreadsheetml/2010/11/main" uri="{B97F6D7D-B522-45F9-BDA1-12C45D357490}">
          <x15:cacheHierarchy aggregatedColumn="13"/>
        </ext>
      </extLst>
    </cacheHierarchy>
    <cacheHierarchy uniqueName="[Measures].[Average of Total_Marks]" caption="Average of Total_Marks" measure="1" displayFolder="" measureGroup="Range" count="0" hidden="1">
      <extLst>
        <ext xmlns:x15="http://schemas.microsoft.com/office/spreadsheetml/2010/11/main" uri="{B97F6D7D-B522-45F9-BDA1-12C45D357490}">
          <x15:cacheHierarchy aggregatedColumn="13"/>
        </ext>
      </extLst>
    </cacheHierarchy>
    <cacheHierarchy uniqueName="[Measures].[Sum of Attendance_Percentage]" caption="Sum of Attendance_Percentage" measure="1" displayFolder="" measureGroup="Table1" count="0" oneField="1" hidden="1">
      <fieldsUsage count="1">
        <fieldUsage x="3"/>
      </fieldsUsage>
      <extLst>
        <ext xmlns:x15="http://schemas.microsoft.com/office/spreadsheetml/2010/11/main" uri="{B97F6D7D-B522-45F9-BDA1-12C45D357490}">
          <x15:cacheHierarchy aggregatedColumn="23"/>
        </ext>
      </extLst>
    </cacheHierarchy>
    <cacheHierarchy uniqueName="[Measures].[Average of Attendance_Percentage]" caption="Average of Attendance_Percentage" measure="1" displayFolder="" measureGroup="Table1" count="0" hidden="1">
      <extLst>
        <ext xmlns:x15="http://schemas.microsoft.com/office/spreadsheetml/2010/11/main" uri="{B97F6D7D-B522-45F9-BDA1-12C45D357490}">
          <x15:cacheHierarchy aggregatedColumn="23"/>
        </ext>
      </extLst>
    </cacheHierarchy>
    <cacheHierarchy uniqueName="[Measures].[Sum of Total_Marks 2]" caption="Sum of Total_Marks 2" measure="1" displayFolder="" measureGroup="Table1"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Average]" caption="Sum of Average" measure="1" displayFolder="" measureGroup="Table1" count="0" oneField="1" hidden="1">
      <fieldsUsage count="1">
        <fieldUsage x="2"/>
      </fieldsUsage>
      <extLst>
        <ext xmlns:x15="http://schemas.microsoft.com/office/spreadsheetml/2010/11/main" uri="{B97F6D7D-B522-45F9-BDA1-12C45D357490}">
          <x15:cacheHierarchy aggregatedColumn="31"/>
        </ext>
      </extLst>
    </cacheHierarchy>
    <cacheHierarchy uniqueName="[Measures].[Average of Average]" caption="Average of Average" measure="1" displayFolder="" measureGroup="Table1" count="0" hidden="1">
      <extLst>
        <ext xmlns:x15="http://schemas.microsoft.com/office/spreadsheetml/2010/11/main" uri="{B97F6D7D-B522-45F9-BDA1-12C45D357490}">
          <x15:cacheHierarchy aggregatedColumn="31"/>
        </ext>
      </extLst>
    </cacheHierarchy>
    <cacheHierarchy uniqueName="[Measures].[Count of Student_ID 2]" caption="Count of Student_ID 2"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Range" uniqueName="[Range]" caption="Range"/>
    <dimension name="Table1" uniqueName="[Table1]" caption="Table1"/>
    <dimension name="Table1  Study_Hours   FeedBack" uniqueName="[Table1  Study_Hours   FeedBack]" caption="Table1  Study_Hours   FeedBack"/>
  </dimensions>
  <measureGroups count="3">
    <measureGroup name="Range" caption="Range"/>
    <measureGroup name="Table1" caption="Table1"/>
    <measureGroup name="Table1  Study_Hours   FeedBack" caption="Table1  Study_Hours   FeedBack"/>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ree N" refreshedDate="46283.785642708332" backgroundQuery="1" createdVersion="3" refreshedVersion="8" minRefreshableVersion="3" recordCount="0" supportSubquery="1" supportAdvancedDrill="1" xr:uid="{2AFEDA51-1F0A-4EBC-8A08-F9487BD7E6B3}">
  <cacheSource type="external" connectionId="1">
    <extLst>
      <ext xmlns:x14="http://schemas.microsoft.com/office/spreadsheetml/2009/9/main" uri="{F057638F-6D5F-4e77-A914-E7F072B9BCA8}">
        <x14:sourceConnection name="ThisWorkbookDataModel"/>
      </ext>
    </extLst>
  </cacheSource>
  <cacheFields count="0"/>
  <cacheHierarchies count="62">
    <cacheHierarchy uniqueName="[Range].[Student_ID]" caption="Student_ID" attribute="1" defaultMemberUniqueName="[Range].[Student_ID].[All]" allUniqueName="[Range].[Student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Attendance_Percentage]" caption="Attendance_Percentage" attribute="1" defaultMemberUniqueName="[Range].[Attendance_Percentage].[All]" allUniqueName="[Range].[Attendance_Percentage].[All]" dimensionUniqueName="[Range]" displayFolder="" count="0" memberValueDatatype="20" unbalanced="0"/>
    <cacheHierarchy uniqueName="[Range].[Study_Hours]" caption="Study_Hours" attribute="1" defaultMemberUniqueName="[Range].[Study_Hours].[All]" allUniqueName="[Range].[Study_Hours].[All]" dimensionUniqueName="[Range]" displayFolder="" count="0" memberValueDatatype="5" unbalanced="0"/>
    <cacheHierarchy uniqueName="[Range].[Math_Marks]" caption="Math_Marks" attribute="1" defaultMemberUniqueName="[Range].[Math_Marks].[All]" allUniqueName="[Range].[Math_Marks].[All]" dimensionUniqueName="[Range]" displayFolder="" count="0" memberValueDatatype="20" unbalanced="0"/>
    <cacheHierarchy uniqueName="[Range].[Science_Marks]" caption="Science_Marks" attribute="1" defaultMemberUniqueName="[Range].[Science_Marks].[All]" allUniqueName="[Range].[Science_Marks].[All]" dimensionUniqueName="[Range]" displayFolder="" count="0" memberValueDatatype="20" unbalanced="0"/>
    <cacheHierarchy uniqueName="[Range].[English_Marks]" caption="English_Marks" attribute="1" defaultMemberUniqueName="[Range].[English_Marks].[All]" allUniqueName="[Range].[English_Marks].[All]" dimensionUniqueName="[Range]" displayFolder="" count="0" memberValueDatatype="20" unbalanced="0"/>
    <cacheHierarchy uniqueName="[Range].[Computer_Marks]" caption="Computer_Marks" attribute="1" defaultMemberUniqueName="[Range].[Computer_Marks].[All]" allUniqueName="[Range].[Computer_Marks].[All]" dimensionUniqueName="[Range]" displayFolder="" count="0" memberValueDatatype="20" unbalanced="0"/>
    <cacheHierarchy uniqueName="[Range].[Social_Marks]" caption="Social_Marks" attribute="1" defaultMemberUniqueName="[Range].[Social_Marks].[All]" allUniqueName="[Range].[Social_Marks].[All]" dimensionUniqueName="[Range]" displayFolder="" count="0" memberValueDatatype="20" unbalanced="0"/>
    <cacheHierarchy uniqueName="[Range].[Total_Marks]" caption="Total_Marks" attribute="1" defaultMemberUniqueName="[Range].[Total_Marks].[All]" allUniqueName="[Range].[Total_Marks].[All]" dimensionUniqueName="[Range]" displayFolder="" count="0" memberValueDatatype="20" unbalanced="0"/>
    <cacheHierarchy uniqueName="[Range].[Average]" caption="Average" attribute="1" defaultMemberUniqueName="[Range].[Average].[All]" allUniqueName="[Range].[Average].[All]" dimensionUniqueName="[Range]" displayFolder="" count="0" memberValueDatatype="5" unbalanced="0"/>
    <cacheHierarchy uniqueName="[Range].[Performance]" caption="Performance" attribute="1" defaultMemberUniqueName="[Range].[Performance].[All]" allUniqueName="[Range].[Performance].[All]" dimensionUniqueName="[Range]" displayFolder="" count="0" memberValueDatatype="130" unbalanced="0"/>
    <cacheHierarchy uniqueName="[Range].[FeedBack]" caption="FeedBack" attribute="1" defaultMemberUniqueName="[Range].[FeedBack].[All]" allUniqueName="[Range].[FeedBack].[All]" dimensionUniqueName="[Range]" displayFolder="" count="0" memberValueDatatype="130" unbalanced="0"/>
    <cacheHierarchy uniqueName="[Table1].[Student_ID]" caption="Student_ID" attribute="1" defaultMemberUniqueName="[Table1].[Student_ID].[All]" allUniqueName="[Table1].[Student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Attendance_Percentage]" caption="Attendance_Percentage" attribute="1" defaultMemberUniqueName="[Table1].[Attendance_Percentage].[All]" allUniqueName="[Table1].[Attendance_Percentage].[All]" dimensionUniqueName="[Table1]" displayFolder="" count="0" memberValueDatatype="20" unbalanced="0"/>
    <cacheHierarchy uniqueName="[Table1].[Study_Hours]" caption="Study_Hours" attribute="1" defaultMemberUniqueName="[Table1].[Study_Hours].[All]" allUniqueName="[Table1].[Study_Hours].[All]" dimensionUniqueName="[Table1]" displayFolder="" count="0" memberValueDatatype="5" unbalanced="0"/>
    <cacheHierarchy uniqueName="[Table1].[Math_Marks]" caption="Math_Marks" attribute="1" defaultMemberUniqueName="[Table1].[Math_Marks].[All]" allUniqueName="[Table1].[Math_Marks].[All]" dimensionUniqueName="[Table1]" displayFolder="" count="0" memberValueDatatype="20" unbalanced="0"/>
    <cacheHierarchy uniqueName="[Table1].[Science_Marks]" caption="Science_Marks" attribute="1" defaultMemberUniqueName="[Table1].[Science_Marks].[All]" allUniqueName="[Table1].[Science_Marks].[All]" dimensionUniqueName="[Table1]" displayFolder="" count="0" memberValueDatatype="20" unbalanced="0"/>
    <cacheHierarchy uniqueName="[Table1].[English_Marks]" caption="English_Marks" attribute="1" defaultMemberUniqueName="[Table1].[English_Marks].[All]" allUniqueName="[Table1].[English_Marks].[All]" dimensionUniqueName="[Table1]" displayFolder="" count="0" memberValueDatatype="20" unbalanced="0"/>
    <cacheHierarchy uniqueName="[Table1].[Computer_Marks]" caption="Computer_Marks" attribute="1" defaultMemberUniqueName="[Table1].[Computer_Marks].[All]" allUniqueName="[Table1].[Computer_Marks].[All]" dimensionUniqueName="[Table1]" displayFolder="" count="0" memberValueDatatype="20" unbalanced="0"/>
    <cacheHierarchy uniqueName="[Table1].[Social_Marks]" caption="Social_Marks" attribute="1" defaultMemberUniqueName="[Table1].[Social_Marks].[All]" allUniqueName="[Table1].[Social_Marks].[All]" dimensionUniqueName="[Table1]" displayFolder="" count="0" memberValueDatatype="20" unbalanced="0"/>
    <cacheHierarchy uniqueName="[Table1].[Total_Marks]" caption="Total_Marks" attribute="1" defaultMemberUniqueName="[Table1].[Total_Marks].[All]" allUniqueName="[Table1].[Total_Marks].[All]" dimensionUniqueName="[Table1]" displayFolder="" count="0" memberValueDatatype="20" unbalanced="0"/>
    <cacheHierarchy uniqueName="[Table1].[Average]" caption="Average" attribute="1" defaultMemberUniqueName="[Table1].[Average].[All]" allUniqueName="[Table1].[Average].[All]" dimensionUniqueName="[Table1]" displayFolder="" count="0" memberValueDatatype="5" unbalanced="0"/>
    <cacheHierarchy uniqueName="[Table1].[Performance]" caption="Performance" attribute="1" defaultMemberUniqueName="[Table1].[Performance].[All]" allUniqueName="[Table1].[Performance].[All]" dimensionUniqueName="[Table1]" displayFolder="" count="0" memberValueDatatype="130" unbalanced="0"/>
    <cacheHierarchy uniqueName="[Table1].[FeedBack]" caption="FeedBack" attribute="1" defaultMemberUniqueName="[Table1].[FeedBack].[All]" allUniqueName="[Table1].[FeedBack].[All]" dimensionUniqueName="[Table1]" displayFolder="" count="0" memberValueDatatype="130" unbalanced="0"/>
    <cacheHierarchy uniqueName="[Table1  Study_Hours   FeedBack].[Study_Hours]" caption="Study_Hours" attribute="1" defaultMemberUniqueName="[Table1  Study_Hours   FeedBack].[Study_Hours].[All]" allUniqueName="[Table1  Study_Hours   FeedBack].[Study_Hours].[All]" dimensionUniqueName="[Table1  Study_Hours   FeedBack]" displayFolder="" count="0" memberValueDatatype="5" unbalanced="0"/>
    <cacheHierarchy uniqueName="[Table1  Study_Hours   FeedBack].[Math_Marks]" caption="Math_Marks" attribute="1" defaultMemberUniqueName="[Table1  Study_Hours   FeedBack].[Math_Marks].[All]" allUniqueName="[Table1  Study_Hours   FeedBack].[Math_Marks].[All]" dimensionUniqueName="[Table1  Study_Hours   FeedBack]" displayFolder="" count="0" memberValueDatatype="20" unbalanced="0"/>
    <cacheHierarchy uniqueName="[Table1  Study_Hours   FeedBack].[Science_Marks]" caption="Science_Marks" attribute="1" defaultMemberUniqueName="[Table1  Study_Hours   FeedBack].[Science_Marks].[All]" allUniqueName="[Table1  Study_Hours   FeedBack].[Science_Marks].[All]" dimensionUniqueName="[Table1  Study_Hours   FeedBack]" displayFolder="" count="0" memberValueDatatype="20" unbalanced="0"/>
    <cacheHierarchy uniqueName="[Table1  Study_Hours   FeedBack].[English_Marks]" caption="English_Marks" attribute="1" defaultMemberUniqueName="[Table1  Study_Hours   FeedBack].[English_Marks].[All]" allUniqueName="[Table1  Study_Hours   FeedBack].[English_Marks].[All]" dimensionUniqueName="[Table1  Study_Hours   FeedBack]" displayFolder="" count="0" memberValueDatatype="20" unbalanced="0"/>
    <cacheHierarchy uniqueName="[Table1  Study_Hours   FeedBack].[Computer_Marks]" caption="Computer_Marks" attribute="1" defaultMemberUniqueName="[Table1  Study_Hours   FeedBack].[Computer_Marks].[All]" allUniqueName="[Table1  Study_Hours   FeedBack].[Computer_Marks].[All]" dimensionUniqueName="[Table1  Study_Hours   FeedBack]" displayFolder="" count="0" memberValueDatatype="20" unbalanced="0"/>
    <cacheHierarchy uniqueName="[Table1  Study_Hours   FeedBack].[Social_Marks]" caption="Social_Marks" attribute="1" defaultMemberUniqueName="[Table1  Study_Hours   FeedBack].[Social_Marks].[All]" allUniqueName="[Table1  Study_Hours   FeedBack].[Social_Marks].[All]" dimensionUniqueName="[Table1  Study_Hours   FeedBack]" displayFolder="" count="0" memberValueDatatype="20" unbalanced="0"/>
    <cacheHierarchy uniqueName="[Table1  Study_Hours   FeedBack].[Total_Marks]" caption="Total_Marks" attribute="1" defaultMemberUniqueName="[Table1  Study_Hours   FeedBack].[Total_Marks].[All]" allUniqueName="[Table1  Study_Hours   FeedBack].[Total_Marks].[All]" dimensionUniqueName="[Table1  Study_Hours   FeedBack]" displayFolder="" count="0" memberValueDatatype="20" unbalanced="0"/>
    <cacheHierarchy uniqueName="[Table1  Study_Hours   FeedBack].[Average]" caption="Average" attribute="1" defaultMemberUniqueName="[Table1  Study_Hours   FeedBack].[Average].[All]" allUniqueName="[Table1  Study_Hours   FeedBack].[Average].[All]" dimensionUniqueName="[Table1  Study_Hours   FeedBack]" displayFolder="" count="0" memberValueDatatype="5" unbalanced="0"/>
    <cacheHierarchy uniqueName="[Table1  Study_Hours   FeedBack].[Performance]" caption="Performance" attribute="1" defaultMemberUniqueName="[Table1  Study_Hours   FeedBack].[Performance].[All]" allUniqueName="[Table1  Study_Hours   FeedBack].[Performance].[All]" dimensionUniqueName="[Table1  Study_Hours   FeedBack]" displayFolder="" count="0" memberValueDatatype="130" unbalanced="0"/>
    <cacheHierarchy uniqueName="[Table1  Study_Hours   FeedBack].[FeedBack]" caption="FeedBack" attribute="1" defaultMemberUniqueName="[Table1  Study_Hours   FeedBack].[FeedBack].[All]" allUniqueName="[Table1  Study_Hours   FeedBack].[FeedBack].[All]" dimensionUniqueName="[Table1  Study_Hours   FeedBack]" displayFolder="" count="0" memberValueDatatype="130" unbalanced="0"/>
    <cacheHierarchy uniqueName="[Measures].[__XL_Count Table1  Study_Hours   FeedBack]" caption="__XL_Count Table1  Study_Hours   FeedBack" measure="1" displayFolder="" measureGroup="Table1  Study_Hours   FeedBack" count="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tudent_ID]" caption="Distinct Count of Student_ID"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4"/>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5"/>
        </ext>
      </extLst>
    </cacheHierarchy>
    <cacheHierarchy uniqueName="[Measures].[Sum of Total_Marks]" caption="Sum of Total_Marks" measure="1" displayFolder="" measureGroup="Range" count="0" hidden="1">
      <extLst>
        <ext xmlns:x15="http://schemas.microsoft.com/office/spreadsheetml/2010/11/main" uri="{B97F6D7D-B522-45F9-BDA1-12C45D357490}">
          <x15:cacheHierarchy aggregatedColumn="13"/>
        </ext>
      </extLst>
    </cacheHierarchy>
    <cacheHierarchy uniqueName="[Measures].[Average of Total_Marks]" caption="Average of Total_Marks" measure="1" displayFolder="" measureGroup="Range" count="0" hidden="1">
      <extLst>
        <ext xmlns:x15="http://schemas.microsoft.com/office/spreadsheetml/2010/11/main" uri="{B97F6D7D-B522-45F9-BDA1-12C45D357490}">
          <x15:cacheHierarchy aggregatedColumn="13"/>
        </ext>
      </extLst>
    </cacheHierarchy>
    <cacheHierarchy uniqueName="[Measures].[Sum of Attendance_Percentage]" caption="Sum of Attendance_Percentage" measure="1" displayFolder="" measureGroup="Table1" count="0" hidden="1">
      <extLst>
        <ext xmlns:x15="http://schemas.microsoft.com/office/spreadsheetml/2010/11/main" uri="{B97F6D7D-B522-45F9-BDA1-12C45D357490}">
          <x15:cacheHierarchy aggregatedColumn="23"/>
        </ext>
      </extLst>
    </cacheHierarchy>
    <cacheHierarchy uniqueName="[Measures].[Average of Attendance_Percentage]" caption="Average of Attendance_Percentage" measure="1" displayFolder="" measureGroup="Table1" count="0" hidden="1">
      <extLst>
        <ext xmlns:x15="http://schemas.microsoft.com/office/spreadsheetml/2010/11/main" uri="{B97F6D7D-B522-45F9-BDA1-12C45D357490}">
          <x15:cacheHierarchy aggregatedColumn="23"/>
        </ext>
      </extLst>
    </cacheHierarchy>
    <cacheHierarchy uniqueName="[Measures].[Sum of Total_Marks 2]" caption="Sum of Total_Marks 2" measure="1" displayFolder="" measureGroup="Table1" count="0" hidden="1">
      <extLst>
        <ext xmlns:x15="http://schemas.microsoft.com/office/spreadsheetml/2010/11/main" uri="{B97F6D7D-B522-45F9-BDA1-12C45D357490}">
          <x15:cacheHierarchy aggregatedColumn="30"/>
        </ext>
      </extLst>
    </cacheHierarchy>
    <cacheHierarchy uniqueName="[Measures].[Sum of Average]" caption="Sum of Average" measure="1" displayFolder="" measureGroup="Table1" count="0" hidden="1">
      <extLst>
        <ext xmlns:x15="http://schemas.microsoft.com/office/spreadsheetml/2010/11/main" uri="{B97F6D7D-B522-45F9-BDA1-12C45D357490}">
          <x15:cacheHierarchy aggregatedColumn="31"/>
        </ext>
      </extLst>
    </cacheHierarchy>
    <cacheHierarchy uniqueName="[Measures].[Average of Average]" caption="Average of Average" measure="1" displayFolder="" measureGroup="Table1" count="0" hidden="1">
      <extLst>
        <ext xmlns:x15="http://schemas.microsoft.com/office/spreadsheetml/2010/11/main" uri="{B97F6D7D-B522-45F9-BDA1-12C45D357490}">
          <x15:cacheHierarchy aggregatedColumn="31"/>
        </ext>
      </extLst>
    </cacheHierarchy>
    <cacheHierarchy uniqueName="[Measures].[Count of Student_ID 2]" caption="Count of Student_ID 2" measure="1" displayFolder="" measureGroup="Table1"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1777364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3F9611-D12E-4691-930F-E1754382DBD6}"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Distinct Count of Student_ID" fld="0" subtotal="count" baseField="0" baseItem="0">
      <extLst>
        <ext xmlns:x15="http://schemas.microsoft.com/office/spreadsheetml/2010/11/main" uri="{FABC7310-3BB5-11E1-824E-6D434824019B}">
          <x15:dataField isCountDistinct="1"/>
        </ext>
      </extLst>
    </dataField>
    <dataField name="Distinct Count of Department" fld="1" subtotal="count" baseField="0" baseItem="1">
      <extLst>
        <ext xmlns:x15="http://schemas.microsoft.com/office/spreadsheetml/2010/11/main" uri="{FABC7310-3BB5-11E1-824E-6D434824019B}">
          <x15:dataField isCountDistinct="1"/>
        </ext>
      </extLst>
    </dataField>
    <dataField name="Distinct Count of City" fld="2" subtotal="count" baseField="0" baseItem="1">
      <extLst>
        <ext xmlns:x15="http://schemas.microsoft.com/office/spreadsheetml/2010/11/main" uri="{FABC7310-3BB5-11E1-824E-6D434824019B}">
          <x15:dataField isCountDistinct="1"/>
        </ext>
      </extLst>
    </dataField>
    <dataField name="Average of Total_Marks" fld="3" subtotal="average" baseField="0" baseItem="1"/>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Student_ID"/>
    <pivotHierarchy dragToData="1"/>
    <pivotHierarchy dragToData="1" caption="Distinct Count of Department"/>
    <pivotHierarchy dragToData="1"/>
    <pivotHierarchy dragToData="1" caption="Distinct Count of City"/>
    <pivotHierarchy dragToData="1"/>
    <pivotHierarchy dragToData="1" caption="Average of Total_Mark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Q">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B7E51B-DAF7-4D43-B04A-D71E71B9D158}" name="PivotTable2"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A77:D78"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Count of Student_ID" fld="0" subtotal="count" baseField="0" baseItem="0"/>
    <dataField name="Sum of Total_Marks" fld="1" baseField="0" baseItem="0"/>
    <dataField name="Sum of Average" fld="2" baseField="0" baseItem="0"/>
    <dataField name="Sum of Attendance_Percentage" fld="3" baseField="0" baseItem="0"/>
  </dataFields>
  <chartFormats count="1">
    <chartFormat chart="18" format="0"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endance_Percentage"/>
    <pivotHierarchy dragToData="1"/>
    <pivotHierarchy dragToData="1"/>
    <pivotHierarchy dragToData="1" caption="Average of Average"/>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_Marks_6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191598-7B78-4894-86D8-5CA69B720C69}"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A61:B6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Student_ID" fld="1" subtotal="count" baseField="0" baseItem="0"/>
  </dataFields>
  <chartFormats count="10">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0" count="1" selected="0">
            <x v="2"/>
          </reference>
        </references>
      </pivotArea>
    </chartFormat>
    <chartFormat chart="18" format="2">
      <pivotArea type="data" outline="0" fieldPosition="0">
        <references count="2">
          <reference field="4294967294" count="1" selected="0">
            <x v="0"/>
          </reference>
          <reference field="0" count="1" selected="0">
            <x v="1"/>
          </reference>
        </references>
      </pivotArea>
    </chartFormat>
    <chartFormat chart="18" format="3">
      <pivotArea type="data" outline="0" fieldPosition="0">
        <references count="2">
          <reference field="4294967294" count="1" selected="0">
            <x v="0"/>
          </reference>
          <reference field="0" count="1" selected="0">
            <x v="0"/>
          </reference>
        </references>
      </pivotArea>
    </chartFormat>
    <chartFormat chart="18" format="4">
      <pivotArea type="data" outline="0" fieldPosition="0">
        <references count="2">
          <reference field="4294967294" count="1" selected="0">
            <x v="0"/>
          </reference>
          <reference field="0" count="1" selected="0">
            <x v="3"/>
          </reference>
        </references>
      </pivotArea>
    </chartFormat>
    <chartFormat chart="28" format="10" series="1">
      <pivotArea type="data" outline="0" fieldPosition="0">
        <references count="1">
          <reference field="4294967294" count="1" selected="0">
            <x v="0"/>
          </reference>
        </references>
      </pivotArea>
    </chartFormat>
    <chartFormat chart="28" format="11">
      <pivotArea type="data" outline="0" fieldPosition="0">
        <references count="2">
          <reference field="4294967294" count="1" selected="0">
            <x v="0"/>
          </reference>
          <reference field="0" count="1" selected="0">
            <x v="0"/>
          </reference>
        </references>
      </pivotArea>
    </chartFormat>
    <chartFormat chart="28" format="12">
      <pivotArea type="data" outline="0" fieldPosition="0">
        <references count="2">
          <reference field="4294967294" count="1" selected="0">
            <x v="0"/>
          </reference>
          <reference field="0" count="1" selected="0">
            <x v="1"/>
          </reference>
        </references>
      </pivotArea>
    </chartFormat>
    <chartFormat chart="28" format="13">
      <pivotArea type="data" outline="0" fieldPosition="0">
        <references count="2">
          <reference field="4294967294" count="1" selected="0">
            <x v="0"/>
          </reference>
          <reference field="0" count="1" selected="0">
            <x v="2"/>
          </reference>
        </references>
      </pivotArea>
    </chartFormat>
    <chartFormat chart="28" format="14">
      <pivotArea type="data" outline="0" fieldPosition="0">
        <references count="2">
          <reference field="4294967294" count="1" selected="0">
            <x v="0"/>
          </reference>
          <reference field="0" count="1" selected="0">
            <x v="3"/>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endance_Percentage"/>
    <pivotHierarchy dragToData="1"/>
    <pivotHierarchy dragToData="1"/>
    <pivotHierarchy dragToData="1" caption="Average of Average"/>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_Marks_6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3A1EF3-3756-44BE-865D-99B8C5BCB788}" name="PivotTable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28:B37"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Total_Marks" fld="1" baseField="0" baseItem="0"/>
  </dataFields>
  <chartFormats count="2">
    <chartFormat chart="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endance_Percent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_Marks_6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118AC1-286A-4AC6-88CA-22AEEA1E46D1}"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3:B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Average of Attendance_Percentage" fld="1" subtotal="average" baseField="0" baseItem="0"/>
  </dataFields>
  <chartFormats count="2">
    <chartFormat chart="0" format="9"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endance_Percent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_Marks_6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A289F8-BDB9-4721-B7F9-13B5954CAB7E}" name="PivotTable6"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A45:B4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Average" fld="1" subtotal="average" baseField="0" baseItem="0"/>
  </dataFields>
  <chartFormats count="9">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0" count="1" selected="0">
            <x v="0"/>
          </reference>
        </references>
      </pivotArea>
    </chartFormat>
    <chartFormat chart="14" format="2">
      <pivotArea type="data" outline="0" fieldPosition="0">
        <references count="2">
          <reference field="4294967294" count="1" selected="0">
            <x v="0"/>
          </reference>
          <reference field="0" count="1" selected="0">
            <x v="1"/>
          </reference>
        </references>
      </pivotArea>
    </chartFormat>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0" count="1" selected="0">
            <x v="0"/>
          </reference>
        </references>
      </pivotArea>
    </chartFormat>
    <chartFormat chart="21" format="2">
      <pivotArea type="data" outline="0" fieldPosition="0">
        <references count="2">
          <reference field="4294967294" count="1" selected="0">
            <x v="0"/>
          </reference>
          <reference field="0" count="1" selected="0">
            <x v="1"/>
          </reference>
        </references>
      </pivotArea>
    </chartFormat>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0" count="1" selected="0">
            <x v="0"/>
          </reference>
        </references>
      </pivotArea>
    </chartFormat>
    <chartFormat chart="27" format="8">
      <pivotArea type="data" outline="0" fieldPosition="0">
        <references count="2">
          <reference field="4294967294" count="1" selected="0">
            <x v="0"/>
          </reference>
          <reference field="0"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endance_Percentage"/>
    <pivotHierarchy dragToData="1"/>
    <pivotHierarchy dragToData="1"/>
    <pivotHierarchy dragToData="1" caption="Average of Average"/>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_Marks_6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C639C8-DC1F-4FAD-91EC-BBD00211244F}"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R119:T136" firstHeaderRow="1" firstDataRow="1" firstDataCol="0"/>
  <pivotFields count="1">
    <pivotField allDrilled="1" subtotalTop="0" showAll="0" dataSourceSort="1" defaultSubtotal="0" defaultAttributeDrillState="1"/>
  </pivot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_Marks_600_Rows.xlsx!Table1[[Study_Hours]:[FeedBack]]">
        <x15:activeTabTopLevelEntity name="[Table1  Study_Hours   FeedBack]"/>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2BC7E2C-A5A8-446B-B158-EDE890A1871E}" sourceName="[Table1].[City]">
  <pivotTables>
    <pivotTable tabId="4" name="PivotTable1"/>
    <pivotTable tabId="1" name="PivotTable1"/>
    <pivotTable tabId="3" name="PivotTable3"/>
    <pivotTable tabId="4" name="PivotTable4"/>
    <pivotTable tabId="4" name="PivotTable5"/>
    <pivotTable tabId="4" name="PivotTable6"/>
    <pivotTable tabId="4" name="PivotTable2"/>
  </pivotTables>
  <data>
    <olap pivotCacheId="1177736480">
      <levels count="2">
        <level uniqueName="[Table1].[City].[(All)]" sourceCaption="(All)" count="0"/>
        <level uniqueName="[Table1].[City].[City]" sourceCaption="City" count="8">
          <ranges>
            <range startItem="0">
              <i n="[Table1].[City].&amp;[Chennai]" c="Chennai"/>
              <i n="[Table1].[City].&amp;[Coimbatore]" c="Coimbatore"/>
              <i n="[Table1].[City].&amp;[Erode]" c="Erode"/>
              <i n="[Table1].[City].&amp;[Karur]" c="Karur"/>
              <i n="[Table1].[City].&amp;[Madurai]" c="Madurai"/>
              <i n="[Table1].[City].&amp;[Salem]" c="Salem"/>
              <i n="[Table1].[City].&amp;[Tiruppur]" c="Tiruppur"/>
              <i n="[Table1].[City].&amp;[Trichy]" c="Trichy"/>
            </range>
          </ranges>
        </level>
      </levels>
      <selections count="1">
        <selection n="[Table1].[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DD9FD75-C5B2-4D83-83CB-8191E71942B6}" sourceName="[Table1].[Department]">
  <pivotTables>
    <pivotTable tabId="4" name="PivotTable1"/>
    <pivotTable tabId="1" name="PivotTable1"/>
    <pivotTable tabId="3" name="PivotTable3"/>
    <pivotTable tabId="4" name="PivotTable4"/>
    <pivotTable tabId="4" name="PivotTable5"/>
    <pivotTable tabId="4" name="PivotTable6"/>
    <pivotTable tabId="4" name="PivotTable2"/>
  </pivotTables>
  <data>
    <olap pivotCacheId="1177736480">
      <levels count="2">
        <level uniqueName="[Table1].[Department].[(All)]" sourceCaption="(All)" count="0"/>
        <level uniqueName="[Table1].[Department].[Department]" sourceCaption="Department" count="6">
          <ranges>
            <range startItem="0">
              <i n="[Table1].[Department].&amp;[Business Administration]" c="Business Administration"/>
              <i n="[Table1].[Department].&amp;[Commerce]" c="Commerce"/>
              <i n="[Table1].[Department].&amp;[Computer Science]" c="Computer Science"/>
              <i n="[Table1].[Department].&amp;[Information Technology]" c="Information Technology"/>
              <i n="[Table1].[Department].&amp;[Mathematics]" c="Mathematics"/>
              <i n="[Table1].[Department].&amp;[Physics]" c="Physics"/>
            </range>
          </ranges>
        </level>
      </levels>
      <selections count="1">
        <selection n="[Table1].[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6FFA617-6EAB-476E-96A2-EC5C69A62C79}" cache="Slicer_City" caption="City" level="1" rowHeight="234950"/>
  <slicer name="Department" xr10:uid="{25E9C86D-18A9-4A0D-AF8C-FCD606022A15}" cache="Slicer_Department" caption="Department"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D24D7AE2-4826-4BDB-B255-A8F369318EF2}" cache="Slicer_City" caption="City" level="1" style="SlicerStyleLight4" rowHeight="234950"/>
  <slicer name="Department 1" xr10:uid="{9A02B292-A883-48C4-8396-6CDBDF57F781}" cache="Slicer_Department" caption="Department" level="1"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293BEC-E036-4081-BE56-B2CAD6043823}" name="Table1" displayName="Table1" ref="A1:Q601" totalsRowShown="0" headerRowDxfId="4">
  <autoFilter ref="A1:Q601" xr:uid="{C9293BEC-E036-4081-BE56-B2CAD6043823}"/>
  <tableColumns count="17">
    <tableColumn id="1" xr3:uid="{B584279B-A271-4877-9ACD-0C0848B98366}" name="Student_ID"/>
    <tableColumn id="2" xr3:uid="{67E27133-6F2F-410C-BA77-CB7660BFF199}" name="Name"/>
    <tableColumn id="3" xr3:uid="{D7F3BE8F-EE78-4D1D-8F3A-F36EEAD1B600}" name="Gender"/>
    <tableColumn id="4" xr3:uid="{A6A0A00E-D8AE-47FA-A054-81A625D9CB14}" name="Age"/>
    <tableColumn id="5" xr3:uid="{2321926B-D8DB-45CE-9E35-1D3150FAEB56}" name="Department"/>
    <tableColumn id="6" xr3:uid="{16E5C1E8-D506-41BA-9C9A-CE6901AC4E4C}" name="City"/>
    <tableColumn id="7" xr3:uid="{A9387A13-31A3-4CD1-8A5A-C405F6756C64}" name="Attendance_Percentage"/>
    <tableColumn id="8" xr3:uid="{1A4E7CE7-8963-43EB-8FC5-82C81D957FB1}" name="Study_Hours"/>
    <tableColumn id="9" xr3:uid="{736A088B-DE77-43F0-ACA5-2D6B8A91ABC8}" name="Math_Marks"/>
    <tableColumn id="10" xr3:uid="{9FC2D0B0-5D63-4A5A-99E9-78B67C04C102}" name="Science_Marks"/>
    <tableColumn id="11" xr3:uid="{1B313789-2486-459F-8BAD-752698EE0F83}" name="English_Marks"/>
    <tableColumn id="12" xr3:uid="{24D0D5D5-F0C2-4D7B-9F85-219142DB58F5}" name="Computer_Marks"/>
    <tableColumn id="13" xr3:uid="{2AC29E92-C385-4549-AABC-5EA5E122CD4D}" name="Social_Marks"/>
    <tableColumn id="15" xr3:uid="{FCE17B93-874D-49B1-8278-CE9F11A6FB32}" name="Total_Marks" dataDxfId="3">
      <calculatedColumnFormula>SUM(Table1[[#This Row],[Math_Marks]:[Social_Marks]])</calculatedColumnFormula>
    </tableColumn>
    <tableColumn id="16" xr3:uid="{929C3CB5-3129-4743-AAEA-4C5642884DFA}" name="Average" dataDxfId="2">
      <calculatedColumnFormula>AVERAGE(Table1[[#This Row],[Math_Marks]:[Social_Marks]])</calculatedColumnFormula>
    </tableColumn>
    <tableColumn id="17" xr3:uid="{911E18DC-E905-41C1-8336-BC0CE346E5DD}" name="Performance" dataDxfId="1">
      <calculatedColumnFormula>IF(Table1[[#This Row],[Total_Marks]]&gt;=400,"Top Performer","Need Improvement")</calculatedColumnFormula>
    </tableColumn>
    <tableColumn id="18" xr3:uid="{2597B855-9E75-4859-9574-F65909702FFD}" name="FeedBack" dataDxfId="0">
      <calculatedColumnFormula>IF(Table1[[#This Row],[Total_Marks]]&gt;=400,"Excellent",IF(Table1[[#This Row],[Total_Marks]]&gt;=300,"Good",IF(Table1[[#This Row],[Total_Marks]]&gt;=200,"Average","Below Average")))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4C8D2-1CE1-49E5-AFDB-D7AFFB902ABD}">
  <dimension ref="A3:D4"/>
  <sheetViews>
    <sheetView workbookViewId="0">
      <selection activeCell="A3" sqref="A3"/>
    </sheetView>
  </sheetViews>
  <sheetFormatPr defaultRowHeight="14.4" x14ac:dyDescent="0.3"/>
  <cols>
    <col min="1" max="1" width="25.21875" bestFit="1" customWidth="1"/>
    <col min="2" max="2" width="26" bestFit="1" customWidth="1"/>
    <col min="3" max="3" width="18.88671875" bestFit="1" customWidth="1"/>
    <col min="4" max="4" width="21.33203125" bestFit="1" customWidth="1"/>
  </cols>
  <sheetData>
    <row r="3" spans="1:4" x14ac:dyDescent="0.3">
      <c r="A3" t="s">
        <v>848</v>
      </c>
      <c r="B3" t="s">
        <v>850</v>
      </c>
      <c r="C3" t="s">
        <v>851</v>
      </c>
      <c r="D3" t="s">
        <v>853</v>
      </c>
    </row>
    <row r="4" spans="1:4" x14ac:dyDescent="0.3">
      <c r="A4">
        <v>601</v>
      </c>
      <c r="B4">
        <v>7</v>
      </c>
      <c r="C4">
        <v>9</v>
      </c>
      <c r="D4">
        <v>319.51333333333332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B1FD6-F9A6-453A-97C8-D13BFA68D44F}">
  <dimension ref="A3:D78"/>
  <sheetViews>
    <sheetView topLeftCell="A35" zoomScaleNormal="100" workbookViewId="0">
      <selection activeCell="A78" sqref="A78"/>
    </sheetView>
  </sheetViews>
  <sheetFormatPr defaultRowHeight="14.4" x14ac:dyDescent="0.3"/>
  <cols>
    <col min="1" max="1" width="18.44140625" bestFit="1" customWidth="1"/>
    <col min="2" max="2" width="18.109375" bestFit="1" customWidth="1"/>
    <col min="3" max="3" width="14.44140625" bestFit="1" customWidth="1"/>
    <col min="4" max="4" width="28.109375" bestFit="1" customWidth="1"/>
    <col min="5" max="6" width="12" bestFit="1" customWidth="1"/>
  </cols>
  <sheetData>
    <row r="3" spans="1:2" x14ac:dyDescent="0.3">
      <c r="A3" s="12" t="s">
        <v>849</v>
      </c>
      <c r="B3" t="s">
        <v>854</v>
      </c>
    </row>
    <row r="4" spans="1:2" x14ac:dyDescent="0.3">
      <c r="A4" s="13" t="s">
        <v>830</v>
      </c>
      <c r="B4">
        <v>81.8125</v>
      </c>
    </row>
    <row r="5" spans="1:2" x14ac:dyDescent="0.3">
      <c r="A5" s="13" t="s">
        <v>829</v>
      </c>
      <c r="B5">
        <v>81.342592592592595</v>
      </c>
    </row>
    <row r="6" spans="1:2" x14ac:dyDescent="0.3">
      <c r="A6" s="13" t="s">
        <v>833</v>
      </c>
      <c r="B6">
        <v>80.018018018018012</v>
      </c>
    </row>
    <row r="7" spans="1:2" x14ac:dyDescent="0.3">
      <c r="A7" s="13" t="s">
        <v>832</v>
      </c>
      <c r="B7">
        <v>81.188679245283012</v>
      </c>
    </row>
    <row r="8" spans="1:2" x14ac:dyDescent="0.3">
      <c r="A8" s="13" t="s">
        <v>834</v>
      </c>
      <c r="B8">
        <v>81.102040816326536</v>
      </c>
    </row>
    <row r="9" spans="1:2" x14ac:dyDescent="0.3">
      <c r="A9" s="13" t="s">
        <v>831</v>
      </c>
      <c r="B9">
        <v>83.456790123456784</v>
      </c>
    </row>
    <row r="10" spans="1:2" x14ac:dyDescent="0.3">
      <c r="A10" s="13" t="s">
        <v>847</v>
      </c>
      <c r="B10">
        <v>81.391666666666666</v>
      </c>
    </row>
    <row r="28" spans="1:2" x14ac:dyDescent="0.3">
      <c r="A28" s="12" t="s">
        <v>849</v>
      </c>
      <c r="B28" t="s">
        <v>852</v>
      </c>
    </row>
    <row r="29" spans="1:2" x14ac:dyDescent="0.3">
      <c r="A29" s="13" t="s">
        <v>838</v>
      </c>
      <c r="B29">
        <v>23978</v>
      </c>
    </row>
    <row r="30" spans="1:2" x14ac:dyDescent="0.3">
      <c r="A30" s="13" t="s">
        <v>836</v>
      </c>
      <c r="B30">
        <v>25277</v>
      </c>
    </row>
    <row r="31" spans="1:2" x14ac:dyDescent="0.3">
      <c r="A31" s="13" t="s">
        <v>837</v>
      </c>
      <c r="B31">
        <v>23641</v>
      </c>
    </row>
    <row r="32" spans="1:2" x14ac:dyDescent="0.3">
      <c r="A32" s="13" t="s">
        <v>840</v>
      </c>
      <c r="B32">
        <v>25505</v>
      </c>
    </row>
    <row r="33" spans="1:2" x14ac:dyDescent="0.3">
      <c r="A33" s="13" t="s">
        <v>842</v>
      </c>
      <c r="B33">
        <v>27182</v>
      </c>
    </row>
    <row r="34" spans="1:2" x14ac:dyDescent="0.3">
      <c r="A34" s="13" t="s">
        <v>839</v>
      </c>
      <c r="B34">
        <v>23024</v>
      </c>
    </row>
    <row r="35" spans="1:2" x14ac:dyDescent="0.3">
      <c r="A35" s="13" t="s">
        <v>835</v>
      </c>
      <c r="B35">
        <v>24440</v>
      </c>
    </row>
    <row r="36" spans="1:2" x14ac:dyDescent="0.3">
      <c r="A36" s="13" t="s">
        <v>841</v>
      </c>
      <c r="B36">
        <v>18661</v>
      </c>
    </row>
    <row r="37" spans="1:2" x14ac:dyDescent="0.3">
      <c r="A37" s="13" t="s">
        <v>847</v>
      </c>
      <c r="B37">
        <v>191708</v>
      </c>
    </row>
    <row r="45" spans="1:2" x14ac:dyDescent="0.3">
      <c r="A45" s="12" t="s">
        <v>849</v>
      </c>
      <c r="B45" t="s">
        <v>855</v>
      </c>
    </row>
    <row r="46" spans="1:2" x14ac:dyDescent="0.3">
      <c r="A46" s="13" t="s">
        <v>828</v>
      </c>
      <c r="B46">
        <v>64.803311258278143</v>
      </c>
    </row>
    <row r="47" spans="1:2" x14ac:dyDescent="0.3">
      <c r="A47" s="13" t="s">
        <v>827</v>
      </c>
      <c r="B47">
        <v>62.989932885906043</v>
      </c>
    </row>
    <row r="48" spans="1:2" x14ac:dyDescent="0.3">
      <c r="A48" s="13" t="s">
        <v>847</v>
      </c>
      <c r="B48">
        <v>63.902666666666661</v>
      </c>
    </row>
    <row r="61" spans="1:2" x14ac:dyDescent="0.3">
      <c r="A61" s="12" t="s">
        <v>849</v>
      </c>
      <c r="B61" t="s">
        <v>859</v>
      </c>
    </row>
    <row r="62" spans="1:2" x14ac:dyDescent="0.3">
      <c r="A62" s="13" t="s">
        <v>844</v>
      </c>
      <c r="B62">
        <v>216</v>
      </c>
    </row>
    <row r="63" spans="1:2" x14ac:dyDescent="0.3">
      <c r="A63" s="13" t="s">
        <v>856</v>
      </c>
      <c r="B63">
        <v>6</v>
      </c>
    </row>
    <row r="64" spans="1:2" x14ac:dyDescent="0.3">
      <c r="A64" s="13" t="s">
        <v>857</v>
      </c>
      <c r="B64">
        <v>40</v>
      </c>
    </row>
    <row r="65" spans="1:4" x14ac:dyDescent="0.3">
      <c r="A65" s="13" t="s">
        <v>858</v>
      </c>
      <c r="B65">
        <v>338</v>
      </c>
    </row>
    <row r="66" spans="1:4" x14ac:dyDescent="0.3">
      <c r="A66" s="13" t="s">
        <v>847</v>
      </c>
      <c r="B66">
        <v>600</v>
      </c>
    </row>
    <row r="77" spans="1:4" x14ac:dyDescent="0.3">
      <c r="A77" t="s">
        <v>859</v>
      </c>
      <c r="B77" t="s">
        <v>852</v>
      </c>
      <c r="C77" t="s">
        <v>860</v>
      </c>
      <c r="D77" t="s">
        <v>861</v>
      </c>
    </row>
    <row r="78" spans="1:4" x14ac:dyDescent="0.3">
      <c r="A78" s="14">
        <v>600</v>
      </c>
      <c r="B78" s="14">
        <v>191708</v>
      </c>
      <c r="C78" s="14">
        <v>38341.599999999999</v>
      </c>
      <c r="D78" s="14">
        <v>48835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A1F68-5267-483F-B127-566880D399FA}">
  <dimension ref="A1"/>
  <sheetViews>
    <sheetView showGridLines="0" tabSelected="1" workbookViewId="0">
      <selection activeCell="R31" sqref="R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01"/>
  <sheetViews>
    <sheetView topLeftCell="A2" zoomScale="120" zoomScaleNormal="120" workbookViewId="0">
      <selection activeCell="A2" sqref="A2:Q601"/>
    </sheetView>
  </sheetViews>
  <sheetFormatPr defaultColWidth="10.33203125" defaultRowHeight="14.4" x14ac:dyDescent="0.3"/>
  <cols>
    <col min="1" max="1" width="12.33203125" customWidth="1"/>
    <col min="5" max="5" width="13" customWidth="1"/>
    <col min="6" max="6" width="13.109375" customWidth="1"/>
    <col min="7" max="7" width="23.109375" customWidth="1"/>
    <col min="8" max="8" width="16" customWidth="1"/>
    <col min="9" max="9" width="16.6640625" customWidth="1"/>
    <col min="10" max="10" width="18.44140625" customWidth="1"/>
    <col min="11" max="11" width="20.109375" customWidth="1"/>
    <col min="12" max="12" width="17.5546875" customWidth="1"/>
    <col min="13" max="13" width="14.33203125" customWidth="1"/>
    <col min="14" max="14" width="15.88671875" customWidth="1"/>
    <col min="15" max="15" width="14.88671875" customWidth="1"/>
    <col min="16" max="16" width="17.33203125" customWidth="1"/>
    <col min="17" max="17" width="13.554687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2" t="s">
        <v>843</v>
      </c>
      <c r="O1" s="2" t="s">
        <v>844</v>
      </c>
      <c r="P1" s="2" t="s">
        <v>845</v>
      </c>
      <c r="Q1" s="2" t="s">
        <v>846</v>
      </c>
    </row>
    <row r="2" spans="1:17" x14ac:dyDescent="0.3">
      <c r="A2" t="s">
        <v>13</v>
      </c>
      <c r="B2" t="s">
        <v>613</v>
      </c>
      <c r="C2" t="s">
        <v>827</v>
      </c>
      <c r="D2">
        <v>20</v>
      </c>
      <c r="E2" t="s">
        <v>829</v>
      </c>
      <c r="F2" t="s">
        <v>835</v>
      </c>
      <c r="G2">
        <v>90</v>
      </c>
      <c r="H2">
        <v>1</v>
      </c>
      <c r="I2">
        <v>47</v>
      </c>
      <c r="J2">
        <v>43</v>
      </c>
      <c r="K2">
        <v>46</v>
      </c>
      <c r="L2">
        <v>39</v>
      </c>
      <c r="M2">
        <v>53</v>
      </c>
      <c r="N2">
        <f>SUM(Table1[[#This Row],[Math_Marks]:[Social_Marks]])</f>
        <v>228</v>
      </c>
      <c r="O2">
        <f>AVERAGE(Table1[[#This Row],[Math_Marks]:[Social_Marks]])</f>
        <v>45.6</v>
      </c>
      <c r="P2" t="str">
        <f>IF(Table1[[#This Row],[Total_Marks]]&gt;=400,"Top Performer","Need Improvement")</f>
        <v>Need Improvement</v>
      </c>
      <c r="Q2" t="str">
        <f>IF(Table1[[#This Row],[Total_Marks]]&gt;=400,"Excellent",IF(Table1[[#This Row],[Total_Marks]]&gt;=300,"Good",IF(Table1[[#This Row],[Total_Marks]]&gt;=200,"Average","Below Average")))</f>
        <v>Average</v>
      </c>
    </row>
    <row r="3" spans="1:17" x14ac:dyDescent="0.3">
      <c r="A3" t="s">
        <v>14</v>
      </c>
      <c r="B3" t="s">
        <v>614</v>
      </c>
      <c r="C3" t="s">
        <v>827</v>
      </c>
      <c r="D3">
        <v>20</v>
      </c>
      <c r="E3" t="s">
        <v>830</v>
      </c>
      <c r="F3" t="s">
        <v>835</v>
      </c>
      <c r="G3">
        <v>86</v>
      </c>
      <c r="H3">
        <v>2.5</v>
      </c>
      <c r="I3">
        <v>55</v>
      </c>
      <c r="J3">
        <v>70</v>
      </c>
      <c r="K3">
        <v>62</v>
      </c>
      <c r="L3">
        <v>61</v>
      </c>
      <c r="M3">
        <v>57</v>
      </c>
      <c r="N3">
        <f>SUM(Table1[[#This Row],[Math_Marks]:[Social_Marks]])</f>
        <v>305</v>
      </c>
      <c r="O3">
        <f>AVERAGE(Table1[[#This Row],[Math_Marks]:[Social_Marks]])</f>
        <v>61</v>
      </c>
      <c r="P3" t="str">
        <f>IF(Table1[[#This Row],[Total_Marks]]&gt;=400,"Top Performer","Need Improvement")</f>
        <v>Need Improvement</v>
      </c>
      <c r="Q3" t="str">
        <f>IF(Table1[[#This Row],[Total_Marks]]&gt;=400,"Excellent",IF(Table1[[#This Row],[Total_Marks]]&gt;=300,"Good",IF(Table1[[#This Row],[Total_Marks]]&gt;=200,"Average","Below Average")))</f>
        <v>Good</v>
      </c>
    </row>
    <row r="4" spans="1:17" x14ac:dyDescent="0.3">
      <c r="A4" t="s">
        <v>15</v>
      </c>
      <c r="B4" t="s">
        <v>615</v>
      </c>
      <c r="C4" t="s">
        <v>827</v>
      </c>
      <c r="D4">
        <v>21</v>
      </c>
      <c r="E4" t="s">
        <v>831</v>
      </c>
      <c r="F4" t="s">
        <v>835</v>
      </c>
      <c r="G4">
        <v>78</v>
      </c>
      <c r="H4">
        <v>4.5999999999999996</v>
      </c>
      <c r="I4">
        <v>72</v>
      </c>
      <c r="J4">
        <v>73</v>
      </c>
      <c r="K4">
        <v>86</v>
      </c>
      <c r="L4">
        <v>66</v>
      </c>
      <c r="M4">
        <v>65</v>
      </c>
      <c r="N4">
        <f>SUM(Table1[[#This Row],[Math_Marks]:[Social_Marks]])</f>
        <v>362</v>
      </c>
      <c r="O4">
        <f>AVERAGE(Table1[[#This Row],[Math_Marks]:[Social_Marks]])</f>
        <v>72.400000000000006</v>
      </c>
      <c r="P4" t="str">
        <f>IF(Table1[[#This Row],[Total_Marks]]&gt;=400,"Top Performer","Need Improvement")</f>
        <v>Need Improvement</v>
      </c>
      <c r="Q4" t="str">
        <f>IF(Table1[[#This Row],[Total_Marks]]&gt;=400,"Excellent",IF(Table1[[#This Row],[Total_Marks]]&gt;=300,"Good",IF(Table1[[#This Row],[Total_Marks]]&gt;=200,"Average","Below Average")))</f>
        <v>Good</v>
      </c>
    </row>
    <row r="5" spans="1:17" x14ac:dyDescent="0.3">
      <c r="A5" t="s">
        <v>16</v>
      </c>
      <c r="B5" t="s">
        <v>616</v>
      </c>
      <c r="C5" t="s">
        <v>828</v>
      </c>
      <c r="D5">
        <v>21</v>
      </c>
      <c r="E5" t="s">
        <v>829</v>
      </c>
      <c r="F5" t="s">
        <v>836</v>
      </c>
      <c r="G5">
        <v>80</v>
      </c>
      <c r="H5">
        <v>2.5</v>
      </c>
      <c r="I5">
        <v>58</v>
      </c>
      <c r="J5">
        <v>59</v>
      </c>
      <c r="K5">
        <v>57</v>
      </c>
      <c r="L5">
        <v>48</v>
      </c>
      <c r="M5">
        <v>55</v>
      </c>
      <c r="N5">
        <f>SUM(Table1[[#This Row],[Math_Marks]:[Social_Marks]])</f>
        <v>277</v>
      </c>
      <c r="O5">
        <f>AVERAGE(Table1[[#This Row],[Math_Marks]:[Social_Marks]])</f>
        <v>55.4</v>
      </c>
      <c r="P5" t="str">
        <f>IF(Table1[[#This Row],[Total_Marks]]&gt;=400,"Top Performer","Need Improvement")</f>
        <v>Need Improvement</v>
      </c>
      <c r="Q5" t="str">
        <f>IF(Table1[[#This Row],[Total_Marks]]&gt;=400,"Excellent",IF(Table1[[#This Row],[Total_Marks]]&gt;=300,"Good",IF(Table1[[#This Row],[Total_Marks]]&gt;=200,"Average","Below Average")))</f>
        <v>Average</v>
      </c>
    </row>
    <row r="6" spans="1:17" x14ac:dyDescent="0.3">
      <c r="A6" t="s">
        <v>17</v>
      </c>
      <c r="B6" t="s">
        <v>617</v>
      </c>
      <c r="C6" t="s">
        <v>828</v>
      </c>
      <c r="D6">
        <v>19</v>
      </c>
      <c r="E6" t="s">
        <v>832</v>
      </c>
      <c r="F6" t="s">
        <v>837</v>
      </c>
      <c r="G6">
        <v>84</v>
      </c>
      <c r="H6">
        <v>4.8</v>
      </c>
      <c r="I6">
        <v>71</v>
      </c>
      <c r="J6">
        <v>74</v>
      </c>
      <c r="K6">
        <v>57</v>
      </c>
      <c r="L6">
        <v>67</v>
      </c>
      <c r="M6">
        <v>65</v>
      </c>
      <c r="N6">
        <f>SUM(Table1[[#This Row],[Math_Marks]:[Social_Marks]])</f>
        <v>334</v>
      </c>
      <c r="O6">
        <f>AVERAGE(Table1[[#This Row],[Math_Marks]:[Social_Marks]])</f>
        <v>66.8</v>
      </c>
      <c r="P6" t="str">
        <f>IF(Table1[[#This Row],[Total_Marks]]&gt;=400,"Top Performer","Need Improvement")</f>
        <v>Need Improvement</v>
      </c>
      <c r="Q6" t="str">
        <f>IF(Table1[[#This Row],[Total_Marks]]&gt;=400,"Excellent",IF(Table1[[#This Row],[Total_Marks]]&gt;=300,"Good",IF(Table1[[#This Row],[Total_Marks]]&gt;=200,"Average","Below Average")))</f>
        <v>Good</v>
      </c>
    </row>
    <row r="7" spans="1:17" x14ac:dyDescent="0.3">
      <c r="A7" t="s">
        <v>18</v>
      </c>
      <c r="B7" t="s">
        <v>618</v>
      </c>
      <c r="C7" t="s">
        <v>828</v>
      </c>
      <c r="D7">
        <v>19</v>
      </c>
      <c r="E7" t="s">
        <v>833</v>
      </c>
      <c r="F7" t="s">
        <v>838</v>
      </c>
      <c r="G7">
        <v>74</v>
      </c>
      <c r="H7">
        <v>5.3</v>
      </c>
      <c r="I7">
        <v>54</v>
      </c>
      <c r="J7">
        <v>58</v>
      </c>
      <c r="K7">
        <v>61</v>
      </c>
      <c r="L7">
        <v>62</v>
      </c>
      <c r="M7">
        <v>63</v>
      </c>
      <c r="N7">
        <f>SUM(Table1[[#This Row],[Math_Marks]:[Social_Marks]])</f>
        <v>298</v>
      </c>
      <c r="O7">
        <f>AVERAGE(Table1[[#This Row],[Math_Marks]:[Social_Marks]])</f>
        <v>59.6</v>
      </c>
      <c r="P7" t="str">
        <f>IF(Table1[[#This Row],[Total_Marks]]&gt;=400,"Top Performer","Need Improvement")</f>
        <v>Need Improvement</v>
      </c>
      <c r="Q7" t="str">
        <f>IF(Table1[[#This Row],[Total_Marks]]&gt;=400,"Excellent",IF(Table1[[#This Row],[Total_Marks]]&gt;=300,"Good",IF(Table1[[#This Row],[Total_Marks]]&gt;=200,"Average","Below Average")))</f>
        <v>Average</v>
      </c>
    </row>
    <row r="8" spans="1:17" x14ac:dyDescent="0.3">
      <c r="A8" t="s">
        <v>19</v>
      </c>
      <c r="B8" t="s">
        <v>619</v>
      </c>
      <c r="C8" t="s">
        <v>828</v>
      </c>
      <c r="D8">
        <v>22</v>
      </c>
      <c r="E8" t="s">
        <v>829</v>
      </c>
      <c r="F8" t="s">
        <v>836</v>
      </c>
      <c r="G8">
        <v>80</v>
      </c>
      <c r="H8">
        <v>1.9</v>
      </c>
      <c r="I8">
        <v>41</v>
      </c>
      <c r="J8">
        <v>52</v>
      </c>
      <c r="K8">
        <v>49</v>
      </c>
      <c r="L8">
        <v>54</v>
      </c>
      <c r="M8">
        <v>45</v>
      </c>
      <c r="N8">
        <f>SUM(Table1[[#This Row],[Math_Marks]:[Social_Marks]])</f>
        <v>241</v>
      </c>
      <c r="O8">
        <f>AVERAGE(Table1[[#This Row],[Math_Marks]:[Social_Marks]])</f>
        <v>48.2</v>
      </c>
      <c r="P8" t="str">
        <f>IF(Table1[[#This Row],[Total_Marks]]&gt;=400,"Top Performer","Need Improvement")</f>
        <v>Need Improvement</v>
      </c>
      <c r="Q8" t="str">
        <f>IF(Table1[[#This Row],[Total_Marks]]&gt;=400,"Excellent",IF(Table1[[#This Row],[Total_Marks]]&gt;=300,"Good",IF(Table1[[#This Row],[Total_Marks]]&gt;=200,"Average","Below Average")))</f>
        <v>Average</v>
      </c>
    </row>
    <row r="9" spans="1:17" x14ac:dyDescent="0.3">
      <c r="A9" t="s">
        <v>20</v>
      </c>
      <c r="B9" t="s">
        <v>620</v>
      </c>
      <c r="C9" t="s">
        <v>828</v>
      </c>
      <c r="D9">
        <v>20</v>
      </c>
      <c r="E9" t="s">
        <v>830</v>
      </c>
      <c r="F9" t="s">
        <v>839</v>
      </c>
      <c r="G9">
        <v>86</v>
      </c>
      <c r="H9">
        <v>2.8</v>
      </c>
      <c r="I9">
        <v>56</v>
      </c>
      <c r="J9">
        <v>49</v>
      </c>
      <c r="K9">
        <v>62</v>
      </c>
      <c r="L9">
        <v>55</v>
      </c>
      <c r="M9">
        <v>59</v>
      </c>
      <c r="N9">
        <f>SUM(Table1[[#This Row],[Math_Marks]:[Social_Marks]])</f>
        <v>281</v>
      </c>
      <c r="O9">
        <f>AVERAGE(Table1[[#This Row],[Math_Marks]:[Social_Marks]])</f>
        <v>56.2</v>
      </c>
      <c r="P9" t="str">
        <f>IF(Table1[[#This Row],[Total_Marks]]&gt;=400,"Top Performer","Need Improvement")</f>
        <v>Need Improvement</v>
      </c>
      <c r="Q9" t="str">
        <f>IF(Table1[[#This Row],[Total_Marks]]&gt;=400,"Excellent",IF(Table1[[#This Row],[Total_Marks]]&gt;=300,"Good",IF(Table1[[#This Row],[Total_Marks]]&gt;=200,"Average","Below Average")))</f>
        <v>Average</v>
      </c>
    </row>
    <row r="10" spans="1:17" x14ac:dyDescent="0.3">
      <c r="A10" t="s">
        <v>21</v>
      </c>
      <c r="B10" t="s">
        <v>621</v>
      </c>
      <c r="C10" t="s">
        <v>828</v>
      </c>
      <c r="D10">
        <v>20</v>
      </c>
      <c r="E10" t="s">
        <v>834</v>
      </c>
      <c r="F10" t="s">
        <v>839</v>
      </c>
      <c r="G10">
        <v>81</v>
      </c>
      <c r="H10">
        <v>3.2</v>
      </c>
      <c r="I10">
        <v>48</v>
      </c>
      <c r="J10">
        <v>49</v>
      </c>
      <c r="K10">
        <v>50</v>
      </c>
      <c r="L10">
        <v>53</v>
      </c>
      <c r="M10">
        <v>64</v>
      </c>
      <c r="N10">
        <f>SUM(Table1[[#This Row],[Math_Marks]:[Social_Marks]])</f>
        <v>264</v>
      </c>
      <c r="O10">
        <f>AVERAGE(Table1[[#This Row],[Math_Marks]:[Social_Marks]])</f>
        <v>52.8</v>
      </c>
      <c r="P10" t="str">
        <f>IF(Table1[[#This Row],[Total_Marks]]&gt;=400,"Top Performer","Need Improvement")</f>
        <v>Need Improvement</v>
      </c>
      <c r="Q10" t="str">
        <f>IF(Table1[[#This Row],[Total_Marks]]&gt;=400,"Excellent",IF(Table1[[#This Row],[Total_Marks]]&gt;=300,"Good",IF(Table1[[#This Row],[Total_Marks]]&gt;=200,"Average","Below Average")))</f>
        <v>Average</v>
      </c>
    </row>
    <row r="11" spans="1:17" x14ac:dyDescent="0.3">
      <c r="A11" t="s">
        <v>22</v>
      </c>
      <c r="B11" t="s">
        <v>622</v>
      </c>
      <c r="C11" t="s">
        <v>827</v>
      </c>
      <c r="D11">
        <v>21</v>
      </c>
      <c r="E11" t="s">
        <v>832</v>
      </c>
      <c r="F11" t="s">
        <v>840</v>
      </c>
      <c r="G11">
        <v>78</v>
      </c>
      <c r="H11">
        <v>4.9000000000000004</v>
      </c>
      <c r="I11">
        <v>60</v>
      </c>
      <c r="J11">
        <v>54</v>
      </c>
      <c r="K11">
        <v>59</v>
      </c>
      <c r="L11">
        <v>68</v>
      </c>
      <c r="M11">
        <v>47</v>
      </c>
      <c r="N11">
        <f>SUM(Table1[[#This Row],[Math_Marks]:[Social_Marks]])</f>
        <v>288</v>
      </c>
      <c r="O11">
        <f>AVERAGE(Table1[[#This Row],[Math_Marks]:[Social_Marks]])</f>
        <v>57.6</v>
      </c>
      <c r="P11" t="str">
        <f>IF(Table1[[#This Row],[Total_Marks]]&gt;=400,"Top Performer","Need Improvement")</f>
        <v>Need Improvement</v>
      </c>
      <c r="Q11" t="str">
        <f>IF(Table1[[#This Row],[Total_Marks]]&gt;=400,"Excellent",IF(Table1[[#This Row],[Total_Marks]]&gt;=300,"Good",IF(Table1[[#This Row],[Total_Marks]]&gt;=200,"Average","Below Average")))</f>
        <v>Average</v>
      </c>
    </row>
    <row r="12" spans="1:17" x14ac:dyDescent="0.3">
      <c r="A12" t="s">
        <v>23</v>
      </c>
      <c r="B12" t="s">
        <v>623</v>
      </c>
      <c r="C12" t="s">
        <v>828</v>
      </c>
      <c r="D12">
        <v>20</v>
      </c>
      <c r="E12" t="s">
        <v>830</v>
      </c>
      <c r="F12" t="s">
        <v>836</v>
      </c>
      <c r="G12">
        <v>68</v>
      </c>
      <c r="H12">
        <v>3.9</v>
      </c>
      <c r="I12">
        <v>60</v>
      </c>
      <c r="J12">
        <v>58</v>
      </c>
      <c r="K12">
        <v>71</v>
      </c>
      <c r="L12">
        <v>56</v>
      </c>
      <c r="M12">
        <v>50</v>
      </c>
      <c r="N12">
        <f>SUM(Table1[[#This Row],[Math_Marks]:[Social_Marks]])</f>
        <v>295</v>
      </c>
      <c r="O12">
        <f>AVERAGE(Table1[[#This Row],[Math_Marks]:[Social_Marks]])</f>
        <v>59</v>
      </c>
      <c r="P12" t="str">
        <f>IF(Table1[[#This Row],[Total_Marks]]&gt;=400,"Top Performer","Need Improvement")</f>
        <v>Need Improvement</v>
      </c>
      <c r="Q12" t="str">
        <f>IF(Table1[[#This Row],[Total_Marks]]&gt;=400,"Excellent",IF(Table1[[#This Row],[Total_Marks]]&gt;=300,"Good",IF(Table1[[#This Row],[Total_Marks]]&gt;=200,"Average","Below Average")))</f>
        <v>Average</v>
      </c>
    </row>
    <row r="13" spans="1:17" x14ac:dyDescent="0.3">
      <c r="A13" t="s">
        <v>24</v>
      </c>
      <c r="B13" t="s">
        <v>624</v>
      </c>
      <c r="C13" t="s">
        <v>828</v>
      </c>
      <c r="D13">
        <v>18</v>
      </c>
      <c r="E13" t="s">
        <v>833</v>
      </c>
      <c r="F13" t="s">
        <v>839</v>
      </c>
      <c r="G13">
        <v>89</v>
      </c>
      <c r="H13">
        <v>4.3</v>
      </c>
      <c r="I13">
        <v>69</v>
      </c>
      <c r="J13">
        <v>73</v>
      </c>
      <c r="K13">
        <v>71</v>
      </c>
      <c r="L13">
        <v>75</v>
      </c>
      <c r="M13">
        <v>67</v>
      </c>
      <c r="N13">
        <f>SUM(Table1[[#This Row],[Math_Marks]:[Social_Marks]])</f>
        <v>355</v>
      </c>
      <c r="O13">
        <f>AVERAGE(Table1[[#This Row],[Math_Marks]:[Social_Marks]])</f>
        <v>71</v>
      </c>
      <c r="P13" t="str">
        <f>IF(Table1[[#This Row],[Total_Marks]]&gt;=400,"Top Performer","Need Improvement")</f>
        <v>Need Improvement</v>
      </c>
      <c r="Q13" t="str">
        <f>IF(Table1[[#This Row],[Total_Marks]]&gt;=400,"Excellent",IF(Table1[[#This Row],[Total_Marks]]&gt;=300,"Good",IF(Table1[[#This Row],[Total_Marks]]&gt;=200,"Average","Below Average")))</f>
        <v>Good</v>
      </c>
    </row>
    <row r="14" spans="1:17" x14ac:dyDescent="0.3">
      <c r="A14" t="s">
        <v>25</v>
      </c>
      <c r="B14" t="s">
        <v>625</v>
      </c>
      <c r="C14" t="s">
        <v>828</v>
      </c>
      <c r="D14">
        <v>18</v>
      </c>
      <c r="E14" t="s">
        <v>833</v>
      </c>
      <c r="F14" t="s">
        <v>840</v>
      </c>
      <c r="G14">
        <v>72</v>
      </c>
      <c r="H14">
        <v>4.3</v>
      </c>
      <c r="I14">
        <v>86</v>
      </c>
      <c r="J14">
        <v>93</v>
      </c>
      <c r="K14">
        <v>73</v>
      </c>
      <c r="L14">
        <v>62</v>
      </c>
      <c r="M14">
        <v>53</v>
      </c>
      <c r="N14">
        <f>SUM(Table1[[#This Row],[Math_Marks]:[Social_Marks]])</f>
        <v>367</v>
      </c>
      <c r="O14">
        <f>AVERAGE(Table1[[#This Row],[Math_Marks]:[Social_Marks]])</f>
        <v>73.400000000000006</v>
      </c>
      <c r="P14" t="str">
        <f>IF(Table1[[#This Row],[Total_Marks]]&gt;=400,"Top Performer","Need Improvement")</f>
        <v>Need Improvement</v>
      </c>
      <c r="Q14" t="str">
        <f>IF(Table1[[#This Row],[Total_Marks]]&gt;=400,"Excellent",IF(Table1[[#This Row],[Total_Marks]]&gt;=300,"Good",IF(Table1[[#This Row],[Total_Marks]]&gt;=200,"Average","Below Average")))</f>
        <v>Good</v>
      </c>
    </row>
    <row r="15" spans="1:17" x14ac:dyDescent="0.3">
      <c r="A15" t="s">
        <v>26</v>
      </c>
      <c r="B15" t="s">
        <v>626</v>
      </c>
      <c r="C15" t="s">
        <v>828</v>
      </c>
      <c r="D15">
        <v>20</v>
      </c>
      <c r="E15" t="s">
        <v>832</v>
      </c>
      <c r="F15" t="s">
        <v>841</v>
      </c>
      <c r="G15">
        <v>76</v>
      </c>
      <c r="H15">
        <v>3.6</v>
      </c>
      <c r="I15">
        <v>71</v>
      </c>
      <c r="J15">
        <v>68</v>
      </c>
      <c r="K15">
        <v>61</v>
      </c>
      <c r="L15">
        <v>56</v>
      </c>
      <c r="M15">
        <v>66</v>
      </c>
      <c r="N15">
        <f>SUM(Table1[[#This Row],[Math_Marks]:[Social_Marks]])</f>
        <v>322</v>
      </c>
      <c r="O15">
        <f>AVERAGE(Table1[[#This Row],[Math_Marks]:[Social_Marks]])</f>
        <v>64.400000000000006</v>
      </c>
      <c r="P15" t="str">
        <f>IF(Table1[[#This Row],[Total_Marks]]&gt;=400,"Top Performer","Need Improvement")</f>
        <v>Need Improvement</v>
      </c>
      <c r="Q15" t="str">
        <f>IF(Table1[[#This Row],[Total_Marks]]&gt;=400,"Excellent",IF(Table1[[#This Row],[Total_Marks]]&gt;=300,"Good",IF(Table1[[#This Row],[Total_Marks]]&gt;=200,"Average","Below Average")))</f>
        <v>Good</v>
      </c>
    </row>
    <row r="16" spans="1:17" x14ac:dyDescent="0.3">
      <c r="A16" t="s">
        <v>27</v>
      </c>
      <c r="B16" t="s">
        <v>627</v>
      </c>
      <c r="C16" t="s">
        <v>827</v>
      </c>
      <c r="D16">
        <v>21</v>
      </c>
      <c r="E16" t="s">
        <v>830</v>
      </c>
      <c r="F16" t="s">
        <v>837</v>
      </c>
      <c r="G16">
        <v>83</v>
      </c>
      <c r="H16">
        <v>5.3</v>
      </c>
      <c r="I16">
        <v>57</v>
      </c>
      <c r="J16">
        <v>59</v>
      </c>
      <c r="K16">
        <v>61</v>
      </c>
      <c r="L16">
        <v>84</v>
      </c>
      <c r="M16">
        <v>60</v>
      </c>
      <c r="N16">
        <f>SUM(Table1[[#This Row],[Math_Marks]:[Social_Marks]])</f>
        <v>321</v>
      </c>
      <c r="O16">
        <f>AVERAGE(Table1[[#This Row],[Math_Marks]:[Social_Marks]])</f>
        <v>64.2</v>
      </c>
      <c r="P16" t="str">
        <f>IF(Table1[[#This Row],[Total_Marks]]&gt;=400,"Top Performer","Need Improvement")</f>
        <v>Need Improvement</v>
      </c>
      <c r="Q16" t="str">
        <f>IF(Table1[[#This Row],[Total_Marks]]&gt;=400,"Excellent",IF(Table1[[#This Row],[Total_Marks]]&gt;=300,"Good",IF(Table1[[#This Row],[Total_Marks]]&gt;=200,"Average","Below Average")))</f>
        <v>Good</v>
      </c>
    </row>
    <row r="17" spans="1:17" x14ac:dyDescent="0.3">
      <c r="A17" t="s">
        <v>28</v>
      </c>
      <c r="B17" t="s">
        <v>628</v>
      </c>
      <c r="C17" t="s">
        <v>827</v>
      </c>
      <c r="D17">
        <v>19</v>
      </c>
      <c r="E17" t="s">
        <v>832</v>
      </c>
      <c r="F17" t="s">
        <v>840</v>
      </c>
      <c r="G17">
        <v>85</v>
      </c>
      <c r="H17">
        <v>3.6</v>
      </c>
      <c r="I17">
        <v>59</v>
      </c>
      <c r="J17">
        <v>67</v>
      </c>
      <c r="K17">
        <v>60</v>
      </c>
      <c r="L17">
        <v>54</v>
      </c>
      <c r="M17">
        <v>54</v>
      </c>
      <c r="N17">
        <f>SUM(Table1[[#This Row],[Math_Marks]:[Social_Marks]])</f>
        <v>294</v>
      </c>
      <c r="O17">
        <f>AVERAGE(Table1[[#This Row],[Math_Marks]:[Social_Marks]])</f>
        <v>58.8</v>
      </c>
      <c r="P17" t="str">
        <f>IF(Table1[[#This Row],[Total_Marks]]&gt;=400,"Top Performer","Need Improvement")</f>
        <v>Need Improvement</v>
      </c>
      <c r="Q17" t="str">
        <f>IF(Table1[[#This Row],[Total_Marks]]&gt;=400,"Excellent",IF(Table1[[#This Row],[Total_Marks]]&gt;=300,"Good",IF(Table1[[#This Row],[Total_Marks]]&gt;=200,"Average","Below Average")))</f>
        <v>Average</v>
      </c>
    </row>
    <row r="18" spans="1:17" x14ac:dyDescent="0.3">
      <c r="A18" t="s">
        <v>29</v>
      </c>
      <c r="B18" t="s">
        <v>629</v>
      </c>
      <c r="C18" t="s">
        <v>827</v>
      </c>
      <c r="D18">
        <v>22</v>
      </c>
      <c r="E18" t="s">
        <v>834</v>
      </c>
      <c r="F18" t="s">
        <v>840</v>
      </c>
      <c r="G18">
        <v>80</v>
      </c>
      <c r="H18">
        <v>4.2</v>
      </c>
      <c r="I18">
        <v>76</v>
      </c>
      <c r="J18">
        <v>71</v>
      </c>
      <c r="K18">
        <v>83</v>
      </c>
      <c r="L18">
        <v>78</v>
      </c>
      <c r="M18">
        <v>87</v>
      </c>
      <c r="N18">
        <f>SUM(Table1[[#This Row],[Math_Marks]:[Social_Marks]])</f>
        <v>395</v>
      </c>
      <c r="O18">
        <f>AVERAGE(Table1[[#This Row],[Math_Marks]:[Social_Marks]])</f>
        <v>79</v>
      </c>
      <c r="P18" t="str">
        <f>IF(Table1[[#This Row],[Total_Marks]]&gt;=400,"Top Performer","Need Improvement")</f>
        <v>Need Improvement</v>
      </c>
      <c r="Q18" t="str">
        <f>IF(Table1[[#This Row],[Total_Marks]]&gt;=400,"Excellent",IF(Table1[[#This Row],[Total_Marks]]&gt;=300,"Good",IF(Table1[[#This Row],[Total_Marks]]&gt;=200,"Average","Below Average")))</f>
        <v>Good</v>
      </c>
    </row>
    <row r="19" spans="1:17" x14ac:dyDescent="0.3">
      <c r="A19" t="s">
        <v>30</v>
      </c>
      <c r="B19" t="s">
        <v>630</v>
      </c>
      <c r="C19" t="s">
        <v>827</v>
      </c>
      <c r="D19">
        <v>22</v>
      </c>
      <c r="E19" t="s">
        <v>831</v>
      </c>
      <c r="F19" t="s">
        <v>836</v>
      </c>
      <c r="G19">
        <v>96</v>
      </c>
      <c r="H19">
        <v>6.4</v>
      </c>
      <c r="I19">
        <v>73</v>
      </c>
      <c r="J19">
        <v>88</v>
      </c>
      <c r="K19">
        <v>68</v>
      </c>
      <c r="L19">
        <v>69</v>
      </c>
      <c r="M19">
        <v>82</v>
      </c>
      <c r="N19">
        <f>SUM(Table1[[#This Row],[Math_Marks]:[Social_Marks]])</f>
        <v>380</v>
      </c>
      <c r="O19">
        <f>AVERAGE(Table1[[#This Row],[Math_Marks]:[Social_Marks]])</f>
        <v>76</v>
      </c>
      <c r="P19" t="str">
        <f>IF(Table1[[#This Row],[Total_Marks]]&gt;=400,"Top Performer","Need Improvement")</f>
        <v>Need Improvement</v>
      </c>
      <c r="Q19" t="str">
        <f>IF(Table1[[#This Row],[Total_Marks]]&gt;=400,"Excellent",IF(Table1[[#This Row],[Total_Marks]]&gt;=300,"Good",IF(Table1[[#This Row],[Total_Marks]]&gt;=200,"Average","Below Average")))</f>
        <v>Good</v>
      </c>
    </row>
    <row r="20" spans="1:17" x14ac:dyDescent="0.3">
      <c r="A20" t="s">
        <v>31</v>
      </c>
      <c r="B20" t="s">
        <v>615</v>
      </c>
      <c r="C20" t="s">
        <v>827</v>
      </c>
      <c r="D20">
        <v>20</v>
      </c>
      <c r="E20" t="s">
        <v>830</v>
      </c>
      <c r="F20" t="s">
        <v>836</v>
      </c>
      <c r="G20">
        <v>85</v>
      </c>
      <c r="H20">
        <v>5.9</v>
      </c>
      <c r="I20">
        <v>79</v>
      </c>
      <c r="J20">
        <v>58</v>
      </c>
      <c r="K20">
        <v>74</v>
      </c>
      <c r="L20">
        <v>67</v>
      </c>
      <c r="M20">
        <v>64</v>
      </c>
      <c r="N20">
        <f>SUM(Table1[[#This Row],[Math_Marks]:[Social_Marks]])</f>
        <v>342</v>
      </c>
      <c r="O20">
        <f>AVERAGE(Table1[[#This Row],[Math_Marks]:[Social_Marks]])</f>
        <v>68.400000000000006</v>
      </c>
      <c r="P20" t="str">
        <f>IF(Table1[[#This Row],[Total_Marks]]&gt;=400,"Top Performer","Need Improvement")</f>
        <v>Need Improvement</v>
      </c>
      <c r="Q20" t="str">
        <f>IF(Table1[[#This Row],[Total_Marks]]&gt;=400,"Excellent",IF(Table1[[#This Row],[Total_Marks]]&gt;=300,"Good",IF(Table1[[#This Row],[Total_Marks]]&gt;=200,"Average","Below Average")))</f>
        <v>Good</v>
      </c>
    </row>
    <row r="21" spans="1:17" x14ac:dyDescent="0.3">
      <c r="A21" t="s">
        <v>32</v>
      </c>
      <c r="B21" t="s">
        <v>631</v>
      </c>
      <c r="C21" t="s">
        <v>827</v>
      </c>
      <c r="D21">
        <v>18</v>
      </c>
      <c r="E21" t="s">
        <v>834</v>
      </c>
      <c r="F21" t="s">
        <v>837</v>
      </c>
      <c r="G21">
        <v>70</v>
      </c>
      <c r="H21">
        <v>3.8</v>
      </c>
      <c r="I21">
        <v>56</v>
      </c>
      <c r="J21">
        <v>66</v>
      </c>
      <c r="K21">
        <v>63</v>
      </c>
      <c r="L21">
        <v>69</v>
      </c>
      <c r="M21">
        <v>57</v>
      </c>
      <c r="N21">
        <f>SUM(Table1[[#This Row],[Math_Marks]:[Social_Marks]])</f>
        <v>311</v>
      </c>
      <c r="O21">
        <f>AVERAGE(Table1[[#This Row],[Math_Marks]:[Social_Marks]])</f>
        <v>62.2</v>
      </c>
      <c r="P21" t="str">
        <f>IF(Table1[[#This Row],[Total_Marks]]&gt;=400,"Top Performer","Need Improvement")</f>
        <v>Need Improvement</v>
      </c>
      <c r="Q21" t="str">
        <f>IF(Table1[[#This Row],[Total_Marks]]&gt;=400,"Excellent",IF(Table1[[#This Row],[Total_Marks]]&gt;=300,"Good",IF(Table1[[#This Row],[Total_Marks]]&gt;=200,"Average","Below Average")))</f>
        <v>Good</v>
      </c>
    </row>
    <row r="22" spans="1:17" x14ac:dyDescent="0.3">
      <c r="A22" t="s">
        <v>33</v>
      </c>
      <c r="B22" t="s">
        <v>632</v>
      </c>
      <c r="C22" t="s">
        <v>828</v>
      </c>
      <c r="D22">
        <v>20</v>
      </c>
      <c r="E22" t="s">
        <v>833</v>
      </c>
      <c r="F22" t="s">
        <v>841</v>
      </c>
      <c r="G22">
        <v>83</v>
      </c>
      <c r="H22">
        <v>2.2000000000000002</v>
      </c>
      <c r="I22">
        <v>61</v>
      </c>
      <c r="J22">
        <v>79</v>
      </c>
      <c r="K22">
        <v>74</v>
      </c>
      <c r="L22">
        <v>52</v>
      </c>
      <c r="M22">
        <v>56</v>
      </c>
      <c r="N22">
        <f>SUM(Table1[[#This Row],[Math_Marks]:[Social_Marks]])</f>
        <v>322</v>
      </c>
      <c r="O22">
        <f>AVERAGE(Table1[[#This Row],[Math_Marks]:[Social_Marks]])</f>
        <v>64.400000000000006</v>
      </c>
      <c r="P22" t="str">
        <f>IF(Table1[[#This Row],[Total_Marks]]&gt;=400,"Top Performer","Need Improvement")</f>
        <v>Need Improvement</v>
      </c>
      <c r="Q22" t="str">
        <f>IF(Table1[[#This Row],[Total_Marks]]&gt;=400,"Excellent",IF(Table1[[#This Row],[Total_Marks]]&gt;=300,"Good",IF(Table1[[#This Row],[Total_Marks]]&gt;=200,"Average","Below Average")))</f>
        <v>Good</v>
      </c>
    </row>
    <row r="23" spans="1:17" x14ac:dyDescent="0.3">
      <c r="A23" t="s">
        <v>34</v>
      </c>
      <c r="B23" t="s">
        <v>633</v>
      </c>
      <c r="C23" t="s">
        <v>827</v>
      </c>
      <c r="D23">
        <v>22</v>
      </c>
      <c r="E23" t="s">
        <v>834</v>
      </c>
      <c r="F23" t="s">
        <v>838</v>
      </c>
      <c r="G23">
        <v>92</v>
      </c>
      <c r="H23">
        <v>2.7</v>
      </c>
      <c r="I23">
        <v>40</v>
      </c>
      <c r="J23">
        <v>56</v>
      </c>
      <c r="K23">
        <v>49</v>
      </c>
      <c r="L23">
        <v>53</v>
      </c>
      <c r="M23">
        <v>50</v>
      </c>
      <c r="N23">
        <f>SUM(Table1[[#This Row],[Math_Marks]:[Social_Marks]])</f>
        <v>248</v>
      </c>
      <c r="O23">
        <f>AVERAGE(Table1[[#This Row],[Math_Marks]:[Social_Marks]])</f>
        <v>49.6</v>
      </c>
      <c r="P23" t="str">
        <f>IF(Table1[[#This Row],[Total_Marks]]&gt;=400,"Top Performer","Need Improvement")</f>
        <v>Need Improvement</v>
      </c>
      <c r="Q23" t="str">
        <f>IF(Table1[[#This Row],[Total_Marks]]&gt;=400,"Excellent",IF(Table1[[#This Row],[Total_Marks]]&gt;=300,"Good",IF(Table1[[#This Row],[Total_Marks]]&gt;=200,"Average","Below Average")))</f>
        <v>Average</v>
      </c>
    </row>
    <row r="24" spans="1:17" x14ac:dyDescent="0.3">
      <c r="A24" t="s">
        <v>35</v>
      </c>
      <c r="B24" t="s">
        <v>634</v>
      </c>
      <c r="C24" t="s">
        <v>827</v>
      </c>
      <c r="D24">
        <v>19</v>
      </c>
      <c r="E24" t="s">
        <v>831</v>
      </c>
      <c r="F24" t="s">
        <v>839</v>
      </c>
      <c r="G24">
        <v>100</v>
      </c>
      <c r="H24">
        <v>1.9</v>
      </c>
      <c r="I24">
        <v>68</v>
      </c>
      <c r="J24">
        <v>76</v>
      </c>
      <c r="K24">
        <v>44</v>
      </c>
      <c r="L24">
        <v>50</v>
      </c>
      <c r="M24">
        <v>56</v>
      </c>
      <c r="N24">
        <f>SUM(Table1[[#This Row],[Math_Marks]:[Social_Marks]])</f>
        <v>294</v>
      </c>
      <c r="O24">
        <f>AVERAGE(Table1[[#This Row],[Math_Marks]:[Social_Marks]])</f>
        <v>58.8</v>
      </c>
      <c r="P24" t="str">
        <f>IF(Table1[[#This Row],[Total_Marks]]&gt;=400,"Top Performer","Need Improvement")</f>
        <v>Need Improvement</v>
      </c>
      <c r="Q24" t="str">
        <f>IF(Table1[[#This Row],[Total_Marks]]&gt;=400,"Excellent",IF(Table1[[#This Row],[Total_Marks]]&gt;=300,"Good",IF(Table1[[#This Row],[Total_Marks]]&gt;=200,"Average","Below Average")))</f>
        <v>Average</v>
      </c>
    </row>
    <row r="25" spans="1:17" x14ac:dyDescent="0.3">
      <c r="A25" t="s">
        <v>36</v>
      </c>
      <c r="B25" t="s">
        <v>635</v>
      </c>
      <c r="C25" t="s">
        <v>827</v>
      </c>
      <c r="D25">
        <v>22</v>
      </c>
      <c r="E25" t="s">
        <v>832</v>
      </c>
      <c r="F25" t="s">
        <v>836</v>
      </c>
      <c r="G25">
        <v>88</v>
      </c>
      <c r="H25">
        <v>4.5</v>
      </c>
      <c r="I25">
        <v>65</v>
      </c>
      <c r="J25">
        <v>55</v>
      </c>
      <c r="K25">
        <v>64</v>
      </c>
      <c r="L25">
        <v>64</v>
      </c>
      <c r="M25">
        <v>68</v>
      </c>
      <c r="N25">
        <f>SUM(Table1[[#This Row],[Math_Marks]:[Social_Marks]])</f>
        <v>316</v>
      </c>
      <c r="O25">
        <f>AVERAGE(Table1[[#This Row],[Math_Marks]:[Social_Marks]])</f>
        <v>63.2</v>
      </c>
      <c r="P25" t="str">
        <f>IF(Table1[[#This Row],[Total_Marks]]&gt;=400,"Top Performer","Need Improvement")</f>
        <v>Need Improvement</v>
      </c>
      <c r="Q25" t="str">
        <f>IF(Table1[[#This Row],[Total_Marks]]&gt;=400,"Excellent",IF(Table1[[#This Row],[Total_Marks]]&gt;=300,"Good",IF(Table1[[#This Row],[Total_Marks]]&gt;=200,"Average","Below Average")))</f>
        <v>Good</v>
      </c>
    </row>
    <row r="26" spans="1:17" x14ac:dyDescent="0.3">
      <c r="A26" t="s">
        <v>37</v>
      </c>
      <c r="B26" t="s">
        <v>636</v>
      </c>
      <c r="C26" t="s">
        <v>828</v>
      </c>
      <c r="D26">
        <v>20</v>
      </c>
      <c r="E26" t="s">
        <v>830</v>
      </c>
      <c r="F26" t="s">
        <v>837</v>
      </c>
      <c r="G26">
        <v>83</v>
      </c>
      <c r="H26">
        <v>4.3</v>
      </c>
      <c r="I26">
        <v>67</v>
      </c>
      <c r="J26">
        <v>61</v>
      </c>
      <c r="K26">
        <v>69</v>
      </c>
      <c r="L26">
        <v>66</v>
      </c>
      <c r="M26">
        <v>84</v>
      </c>
      <c r="N26">
        <f>SUM(Table1[[#This Row],[Math_Marks]:[Social_Marks]])</f>
        <v>347</v>
      </c>
      <c r="O26">
        <f>AVERAGE(Table1[[#This Row],[Math_Marks]:[Social_Marks]])</f>
        <v>69.400000000000006</v>
      </c>
      <c r="P26" t="str">
        <f>IF(Table1[[#This Row],[Total_Marks]]&gt;=400,"Top Performer","Need Improvement")</f>
        <v>Need Improvement</v>
      </c>
      <c r="Q26" t="str">
        <f>IF(Table1[[#This Row],[Total_Marks]]&gt;=400,"Excellent",IF(Table1[[#This Row],[Total_Marks]]&gt;=300,"Good",IF(Table1[[#This Row],[Total_Marks]]&gt;=200,"Average","Below Average")))</f>
        <v>Good</v>
      </c>
    </row>
    <row r="27" spans="1:17" x14ac:dyDescent="0.3">
      <c r="A27" t="s">
        <v>38</v>
      </c>
      <c r="B27" t="s">
        <v>637</v>
      </c>
      <c r="C27" t="s">
        <v>828</v>
      </c>
      <c r="D27">
        <v>19</v>
      </c>
      <c r="E27" t="s">
        <v>829</v>
      </c>
      <c r="F27" t="s">
        <v>838</v>
      </c>
      <c r="G27">
        <v>71</v>
      </c>
      <c r="H27">
        <v>5.6</v>
      </c>
      <c r="I27">
        <v>75</v>
      </c>
      <c r="J27">
        <v>57</v>
      </c>
      <c r="K27">
        <v>78</v>
      </c>
      <c r="L27">
        <v>74</v>
      </c>
      <c r="M27">
        <v>62</v>
      </c>
      <c r="N27">
        <f>SUM(Table1[[#This Row],[Math_Marks]:[Social_Marks]])</f>
        <v>346</v>
      </c>
      <c r="O27">
        <f>AVERAGE(Table1[[#This Row],[Math_Marks]:[Social_Marks]])</f>
        <v>69.2</v>
      </c>
      <c r="P27" t="str">
        <f>IF(Table1[[#This Row],[Total_Marks]]&gt;=400,"Top Performer","Need Improvement")</f>
        <v>Need Improvement</v>
      </c>
      <c r="Q27" t="str">
        <f>IF(Table1[[#This Row],[Total_Marks]]&gt;=400,"Excellent",IF(Table1[[#This Row],[Total_Marks]]&gt;=300,"Good",IF(Table1[[#This Row],[Total_Marks]]&gt;=200,"Average","Below Average")))</f>
        <v>Good</v>
      </c>
    </row>
    <row r="28" spans="1:17" x14ac:dyDescent="0.3">
      <c r="A28" t="s">
        <v>39</v>
      </c>
      <c r="B28" t="s">
        <v>638</v>
      </c>
      <c r="C28" t="s">
        <v>827</v>
      </c>
      <c r="D28">
        <v>21</v>
      </c>
      <c r="E28" t="s">
        <v>834</v>
      </c>
      <c r="F28" t="s">
        <v>837</v>
      </c>
      <c r="G28">
        <v>79</v>
      </c>
      <c r="H28">
        <v>3.6</v>
      </c>
      <c r="I28">
        <v>62</v>
      </c>
      <c r="J28">
        <v>73</v>
      </c>
      <c r="K28">
        <v>40</v>
      </c>
      <c r="L28">
        <v>59</v>
      </c>
      <c r="M28">
        <v>62</v>
      </c>
      <c r="N28">
        <f>SUM(Table1[[#This Row],[Math_Marks]:[Social_Marks]])</f>
        <v>296</v>
      </c>
      <c r="O28">
        <f>AVERAGE(Table1[[#This Row],[Math_Marks]:[Social_Marks]])</f>
        <v>59.2</v>
      </c>
      <c r="P28" t="str">
        <f>IF(Table1[[#This Row],[Total_Marks]]&gt;=400,"Top Performer","Need Improvement")</f>
        <v>Need Improvement</v>
      </c>
      <c r="Q28" t="str">
        <f>IF(Table1[[#This Row],[Total_Marks]]&gt;=400,"Excellent",IF(Table1[[#This Row],[Total_Marks]]&gt;=300,"Good",IF(Table1[[#This Row],[Total_Marks]]&gt;=200,"Average","Below Average")))</f>
        <v>Average</v>
      </c>
    </row>
    <row r="29" spans="1:17" x14ac:dyDescent="0.3">
      <c r="A29" t="s">
        <v>40</v>
      </c>
      <c r="B29" t="s">
        <v>630</v>
      </c>
      <c r="C29" t="s">
        <v>827</v>
      </c>
      <c r="D29">
        <v>20</v>
      </c>
      <c r="E29" t="s">
        <v>833</v>
      </c>
      <c r="F29" t="s">
        <v>839</v>
      </c>
      <c r="G29">
        <v>84</v>
      </c>
      <c r="H29">
        <v>6.4</v>
      </c>
      <c r="I29">
        <v>71</v>
      </c>
      <c r="J29">
        <v>62</v>
      </c>
      <c r="K29">
        <v>64</v>
      </c>
      <c r="L29">
        <v>56</v>
      </c>
      <c r="M29">
        <v>62</v>
      </c>
      <c r="N29">
        <f>SUM(Table1[[#This Row],[Math_Marks]:[Social_Marks]])</f>
        <v>315</v>
      </c>
      <c r="O29">
        <f>AVERAGE(Table1[[#This Row],[Math_Marks]:[Social_Marks]])</f>
        <v>63</v>
      </c>
      <c r="P29" t="str">
        <f>IF(Table1[[#This Row],[Total_Marks]]&gt;=400,"Top Performer","Need Improvement")</f>
        <v>Need Improvement</v>
      </c>
      <c r="Q29" t="str">
        <f>IF(Table1[[#This Row],[Total_Marks]]&gt;=400,"Excellent",IF(Table1[[#This Row],[Total_Marks]]&gt;=300,"Good",IF(Table1[[#This Row],[Total_Marks]]&gt;=200,"Average","Below Average")))</f>
        <v>Good</v>
      </c>
    </row>
    <row r="30" spans="1:17" x14ac:dyDescent="0.3">
      <c r="A30" t="s">
        <v>41</v>
      </c>
      <c r="B30" t="s">
        <v>614</v>
      </c>
      <c r="C30" t="s">
        <v>828</v>
      </c>
      <c r="D30">
        <v>22</v>
      </c>
      <c r="E30" t="s">
        <v>831</v>
      </c>
      <c r="F30" t="s">
        <v>839</v>
      </c>
      <c r="G30">
        <v>92</v>
      </c>
      <c r="H30">
        <v>4.5</v>
      </c>
      <c r="I30">
        <v>85</v>
      </c>
      <c r="J30">
        <v>88</v>
      </c>
      <c r="K30">
        <v>79</v>
      </c>
      <c r="L30">
        <v>82</v>
      </c>
      <c r="M30">
        <v>76</v>
      </c>
      <c r="N30">
        <f>SUM(Table1[[#This Row],[Math_Marks]:[Social_Marks]])</f>
        <v>410</v>
      </c>
      <c r="O30">
        <f>AVERAGE(Table1[[#This Row],[Math_Marks]:[Social_Marks]])</f>
        <v>82</v>
      </c>
      <c r="P30" t="str">
        <f>IF(Table1[[#This Row],[Total_Marks]]&gt;=400,"Top Performer","Need Improvement")</f>
        <v>Top Performer</v>
      </c>
      <c r="Q30" t="str">
        <f>IF(Table1[[#This Row],[Total_Marks]]&gt;=400,"Excellent",IF(Table1[[#This Row],[Total_Marks]]&gt;=300,"Good",IF(Table1[[#This Row],[Total_Marks]]&gt;=200,"Average","Below Average")))</f>
        <v>Excellent</v>
      </c>
    </row>
    <row r="31" spans="1:17" x14ac:dyDescent="0.3">
      <c r="A31" t="s">
        <v>42</v>
      </c>
      <c r="B31" t="s">
        <v>639</v>
      </c>
      <c r="C31" t="s">
        <v>827</v>
      </c>
      <c r="D31">
        <v>20</v>
      </c>
      <c r="E31" t="s">
        <v>832</v>
      </c>
      <c r="F31" t="s">
        <v>837</v>
      </c>
      <c r="G31">
        <v>80</v>
      </c>
      <c r="H31">
        <v>5.6</v>
      </c>
      <c r="I31">
        <v>91</v>
      </c>
      <c r="J31">
        <v>82</v>
      </c>
      <c r="K31">
        <v>64</v>
      </c>
      <c r="L31">
        <v>76</v>
      </c>
      <c r="M31">
        <v>67</v>
      </c>
      <c r="N31">
        <f>SUM(Table1[[#This Row],[Math_Marks]:[Social_Marks]])</f>
        <v>380</v>
      </c>
      <c r="O31">
        <f>AVERAGE(Table1[[#This Row],[Math_Marks]:[Social_Marks]])</f>
        <v>76</v>
      </c>
      <c r="P31" t="str">
        <f>IF(Table1[[#This Row],[Total_Marks]]&gt;=400,"Top Performer","Need Improvement")</f>
        <v>Need Improvement</v>
      </c>
      <c r="Q31" t="str">
        <f>IF(Table1[[#This Row],[Total_Marks]]&gt;=400,"Excellent",IF(Table1[[#This Row],[Total_Marks]]&gt;=300,"Good",IF(Table1[[#This Row],[Total_Marks]]&gt;=200,"Average","Below Average")))</f>
        <v>Good</v>
      </c>
    </row>
    <row r="32" spans="1:17" x14ac:dyDescent="0.3">
      <c r="A32" t="s">
        <v>43</v>
      </c>
      <c r="B32" t="s">
        <v>640</v>
      </c>
      <c r="C32" t="s">
        <v>827</v>
      </c>
      <c r="D32">
        <v>20</v>
      </c>
      <c r="E32" t="s">
        <v>830</v>
      </c>
      <c r="F32" t="s">
        <v>835</v>
      </c>
      <c r="G32">
        <v>75</v>
      </c>
      <c r="H32">
        <v>2.2999999999999998</v>
      </c>
      <c r="I32">
        <v>47</v>
      </c>
      <c r="J32">
        <v>52</v>
      </c>
      <c r="K32">
        <v>59</v>
      </c>
      <c r="L32">
        <v>66</v>
      </c>
      <c r="M32">
        <v>62</v>
      </c>
      <c r="N32">
        <f>SUM(Table1[[#This Row],[Math_Marks]:[Social_Marks]])</f>
        <v>286</v>
      </c>
      <c r="O32">
        <f>AVERAGE(Table1[[#This Row],[Math_Marks]:[Social_Marks]])</f>
        <v>57.2</v>
      </c>
      <c r="P32" t="str">
        <f>IF(Table1[[#This Row],[Total_Marks]]&gt;=400,"Top Performer","Need Improvement")</f>
        <v>Need Improvement</v>
      </c>
      <c r="Q32" t="str">
        <f>IF(Table1[[#This Row],[Total_Marks]]&gt;=400,"Excellent",IF(Table1[[#This Row],[Total_Marks]]&gt;=300,"Good",IF(Table1[[#This Row],[Total_Marks]]&gt;=200,"Average","Below Average")))</f>
        <v>Average</v>
      </c>
    </row>
    <row r="33" spans="1:17" x14ac:dyDescent="0.3">
      <c r="A33" t="s">
        <v>44</v>
      </c>
      <c r="B33" t="s">
        <v>641</v>
      </c>
      <c r="C33" t="s">
        <v>827</v>
      </c>
      <c r="D33">
        <v>21</v>
      </c>
      <c r="E33" t="s">
        <v>830</v>
      </c>
      <c r="F33" t="s">
        <v>835</v>
      </c>
      <c r="G33">
        <v>85</v>
      </c>
      <c r="H33">
        <v>6.2</v>
      </c>
      <c r="I33">
        <v>55</v>
      </c>
      <c r="J33">
        <v>65</v>
      </c>
      <c r="K33">
        <v>47</v>
      </c>
      <c r="L33">
        <v>72</v>
      </c>
      <c r="M33">
        <v>63</v>
      </c>
      <c r="N33">
        <f>SUM(Table1[[#This Row],[Math_Marks]:[Social_Marks]])</f>
        <v>302</v>
      </c>
      <c r="O33">
        <f>AVERAGE(Table1[[#This Row],[Math_Marks]:[Social_Marks]])</f>
        <v>60.4</v>
      </c>
      <c r="P33" t="str">
        <f>IF(Table1[[#This Row],[Total_Marks]]&gt;=400,"Top Performer","Need Improvement")</f>
        <v>Need Improvement</v>
      </c>
      <c r="Q33" t="str">
        <f>IF(Table1[[#This Row],[Total_Marks]]&gt;=400,"Excellent",IF(Table1[[#This Row],[Total_Marks]]&gt;=300,"Good",IF(Table1[[#This Row],[Total_Marks]]&gt;=200,"Average","Below Average")))</f>
        <v>Good</v>
      </c>
    </row>
    <row r="34" spans="1:17" x14ac:dyDescent="0.3">
      <c r="A34" t="s">
        <v>45</v>
      </c>
      <c r="B34" t="s">
        <v>642</v>
      </c>
      <c r="C34" t="s">
        <v>828</v>
      </c>
      <c r="D34">
        <v>19</v>
      </c>
      <c r="E34" t="s">
        <v>834</v>
      </c>
      <c r="F34" t="s">
        <v>837</v>
      </c>
      <c r="G34">
        <v>91</v>
      </c>
      <c r="H34">
        <v>4.0999999999999996</v>
      </c>
      <c r="I34">
        <v>71</v>
      </c>
      <c r="J34">
        <v>62</v>
      </c>
      <c r="K34">
        <v>68</v>
      </c>
      <c r="L34">
        <v>68</v>
      </c>
      <c r="M34">
        <v>72</v>
      </c>
      <c r="N34">
        <f>SUM(Table1[[#This Row],[Math_Marks]:[Social_Marks]])</f>
        <v>341</v>
      </c>
      <c r="O34">
        <f>AVERAGE(Table1[[#This Row],[Math_Marks]:[Social_Marks]])</f>
        <v>68.2</v>
      </c>
      <c r="P34" t="str">
        <f>IF(Table1[[#This Row],[Total_Marks]]&gt;=400,"Top Performer","Need Improvement")</f>
        <v>Need Improvement</v>
      </c>
      <c r="Q34" t="str">
        <f>IF(Table1[[#This Row],[Total_Marks]]&gt;=400,"Excellent",IF(Table1[[#This Row],[Total_Marks]]&gt;=300,"Good",IF(Table1[[#This Row],[Total_Marks]]&gt;=200,"Average","Below Average")))</f>
        <v>Good</v>
      </c>
    </row>
    <row r="35" spans="1:17" x14ac:dyDescent="0.3">
      <c r="A35" t="s">
        <v>46</v>
      </c>
      <c r="B35" t="s">
        <v>643</v>
      </c>
      <c r="C35" t="s">
        <v>827</v>
      </c>
      <c r="D35">
        <v>21</v>
      </c>
      <c r="E35" t="s">
        <v>829</v>
      </c>
      <c r="F35" t="s">
        <v>839</v>
      </c>
      <c r="G35">
        <v>95</v>
      </c>
      <c r="H35">
        <v>2.7</v>
      </c>
      <c r="I35">
        <v>59</v>
      </c>
      <c r="J35">
        <v>64</v>
      </c>
      <c r="K35">
        <v>57</v>
      </c>
      <c r="L35">
        <v>68</v>
      </c>
      <c r="M35">
        <v>64</v>
      </c>
      <c r="N35">
        <f>SUM(Table1[[#This Row],[Math_Marks]:[Social_Marks]])</f>
        <v>312</v>
      </c>
      <c r="O35">
        <f>AVERAGE(Table1[[#This Row],[Math_Marks]:[Social_Marks]])</f>
        <v>62.4</v>
      </c>
      <c r="P35" t="str">
        <f>IF(Table1[[#This Row],[Total_Marks]]&gt;=400,"Top Performer","Need Improvement")</f>
        <v>Need Improvement</v>
      </c>
      <c r="Q35" t="str">
        <f>IF(Table1[[#This Row],[Total_Marks]]&gt;=400,"Excellent",IF(Table1[[#This Row],[Total_Marks]]&gt;=300,"Good",IF(Table1[[#This Row],[Total_Marks]]&gt;=200,"Average","Below Average")))</f>
        <v>Good</v>
      </c>
    </row>
    <row r="36" spans="1:17" x14ac:dyDescent="0.3">
      <c r="A36" t="s">
        <v>47</v>
      </c>
      <c r="B36" t="s">
        <v>615</v>
      </c>
      <c r="C36" t="s">
        <v>828</v>
      </c>
      <c r="D36">
        <v>19</v>
      </c>
      <c r="E36" t="s">
        <v>833</v>
      </c>
      <c r="F36" t="s">
        <v>835</v>
      </c>
      <c r="G36">
        <v>80</v>
      </c>
      <c r="H36">
        <v>1</v>
      </c>
      <c r="I36">
        <v>60</v>
      </c>
      <c r="J36">
        <v>65</v>
      </c>
      <c r="K36">
        <v>74</v>
      </c>
      <c r="L36">
        <v>51</v>
      </c>
      <c r="M36">
        <v>54</v>
      </c>
      <c r="N36">
        <f>SUM(Table1[[#This Row],[Math_Marks]:[Social_Marks]])</f>
        <v>304</v>
      </c>
      <c r="O36">
        <f>AVERAGE(Table1[[#This Row],[Math_Marks]:[Social_Marks]])</f>
        <v>60.8</v>
      </c>
      <c r="P36" t="str">
        <f>IF(Table1[[#This Row],[Total_Marks]]&gt;=400,"Top Performer","Need Improvement")</f>
        <v>Need Improvement</v>
      </c>
      <c r="Q36" t="str">
        <f>IF(Table1[[#This Row],[Total_Marks]]&gt;=400,"Excellent",IF(Table1[[#This Row],[Total_Marks]]&gt;=300,"Good",IF(Table1[[#This Row],[Total_Marks]]&gt;=200,"Average","Below Average")))</f>
        <v>Good</v>
      </c>
    </row>
    <row r="37" spans="1:17" x14ac:dyDescent="0.3">
      <c r="A37" t="s">
        <v>48</v>
      </c>
      <c r="B37" t="s">
        <v>644</v>
      </c>
      <c r="C37" t="s">
        <v>828</v>
      </c>
      <c r="D37">
        <v>18</v>
      </c>
      <c r="E37" t="s">
        <v>829</v>
      </c>
      <c r="F37" t="s">
        <v>842</v>
      </c>
      <c r="G37">
        <v>86</v>
      </c>
      <c r="H37">
        <v>4.2</v>
      </c>
      <c r="I37">
        <v>38</v>
      </c>
      <c r="J37">
        <v>57</v>
      </c>
      <c r="K37">
        <v>53</v>
      </c>
      <c r="L37">
        <v>61</v>
      </c>
      <c r="M37">
        <v>62</v>
      </c>
      <c r="N37">
        <f>SUM(Table1[[#This Row],[Math_Marks]:[Social_Marks]])</f>
        <v>271</v>
      </c>
      <c r="O37">
        <f>AVERAGE(Table1[[#This Row],[Math_Marks]:[Social_Marks]])</f>
        <v>54.2</v>
      </c>
      <c r="P37" t="str">
        <f>IF(Table1[[#This Row],[Total_Marks]]&gt;=400,"Top Performer","Need Improvement")</f>
        <v>Need Improvement</v>
      </c>
      <c r="Q37" t="str">
        <f>IF(Table1[[#This Row],[Total_Marks]]&gt;=400,"Excellent",IF(Table1[[#This Row],[Total_Marks]]&gt;=300,"Good",IF(Table1[[#This Row],[Total_Marks]]&gt;=200,"Average","Below Average")))</f>
        <v>Average</v>
      </c>
    </row>
    <row r="38" spans="1:17" x14ac:dyDescent="0.3">
      <c r="A38" t="s">
        <v>49</v>
      </c>
      <c r="B38" t="s">
        <v>645</v>
      </c>
      <c r="C38" t="s">
        <v>828</v>
      </c>
      <c r="D38">
        <v>18</v>
      </c>
      <c r="E38" t="s">
        <v>830</v>
      </c>
      <c r="F38" t="s">
        <v>837</v>
      </c>
      <c r="G38">
        <v>88</v>
      </c>
      <c r="H38">
        <v>4.0999999999999996</v>
      </c>
      <c r="I38">
        <v>65</v>
      </c>
      <c r="J38">
        <v>69</v>
      </c>
      <c r="K38">
        <v>72</v>
      </c>
      <c r="L38">
        <v>77</v>
      </c>
      <c r="M38">
        <v>67</v>
      </c>
      <c r="N38">
        <f>SUM(Table1[[#This Row],[Math_Marks]:[Social_Marks]])</f>
        <v>350</v>
      </c>
      <c r="O38">
        <f>AVERAGE(Table1[[#This Row],[Math_Marks]:[Social_Marks]])</f>
        <v>70</v>
      </c>
      <c r="P38" t="str">
        <f>IF(Table1[[#This Row],[Total_Marks]]&gt;=400,"Top Performer","Need Improvement")</f>
        <v>Need Improvement</v>
      </c>
      <c r="Q38" t="str">
        <f>IF(Table1[[#This Row],[Total_Marks]]&gt;=400,"Excellent",IF(Table1[[#This Row],[Total_Marks]]&gt;=300,"Good",IF(Table1[[#This Row],[Total_Marks]]&gt;=200,"Average","Below Average")))</f>
        <v>Good</v>
      </c>
    </row>
    <row r="39" spans="1:17" x14ac:dyDescent="0.3">
      <c r="A39" t="s">
        <v>50</v>
      </c>
      <c r="B39" t="s">
        <v>634</v>
      </c>
      <c r="C39" t="s">
        <v>827</v>
      </c>
      <c r="D39">
        <v>18</v>
      </c>
      <c r="E39" t="s">
        <v>833</v>
      </c>
      <c r="F39" t="s">
        <v>838</v>
      </c>
      <c r="G39">
        <v>89</v>
      </c>
      <c r="H39">
        <v>1</v>
      </c>
      <c r="I39">
        <v>34</v>
      </c>
      <c r="J39">
        <v>30</v>
      </c>
      <c r="K39">
        <v>40</v>
      </c>
      <c r="L39">
        <v>52</v>
      </c>
      <c r="M39">
        <v>43</v>
      </c>
      <c r="N39">
        <f>SUM(Table1[[#This Row],[Math_Marks]:[Social_Marks]])</f>
        <v>199</v>
      </c>
      <c r="O39">
        <f>AVERAGE(Table1[[#This Row],[Math_Marks]:[Social_Marks]])</f>
        <v>39.799999999999997</v>
      </c>
      <c r="P39" t="str">
        <f>IF(Table1[[#This Row],[Total_Marks]]&gt;=400,"Top Performer","Need Improvement")</f>
        <v>Need Improvement</v>
      </c>
      <c r="Q39" t="str">
        <f>IF(Table1[[#This Row],[Total_Marks]]&gt;=400,"Excellent",IF(Table1[[#This Row],[Total_Marks]]&gt;=300,"Good",IF(Table1[[#This Row],[Total_Marks]]&gt;=200,"Average","Below Average")))</f>
        <v>Below Average</v>
      </c>
    </row>
    <row r="40" spans="1:17" x14ac:dyDescent="0.3">
      <c r="A40" t="s">
        <v>51</v>
      </c>
      <c r="B40" t="s">
        <v>646</v>
      </c>
      <c r="C40" t="s">
        <v>827</v>
      </c>
      <c r="D40">
        <v>22</v>
      </c>
      <c r="E40" t="s">
        <v>834</v>
      </c>
      <c r="F40" t="s">
        <v>835</v>
      </c>
      <c r="G40">
        <v>81</v>
      </c>
      <c r="H40">
        <v>5.8</v>
      </c>
      <c r="I40">
        <v>66</v>
      </c>
      <c r="J40">
        <v>68</v>
      </c>
      <c r="K40">
        <v>61</v>
      </c>
      <c r="L40">
        <v>66</v>
      </c>
      <c r="M40">
        <v>70</v>
      </c>
      <c r="N40">
        <f>SUM(Table1[[#This Row],[Math_Marks]:[Social_Marks]])</f>
        <v>331</v>
      </c>
      <c r="O40">
        <f>AVERAGE(Table1[[#This Row],[Math_Marks]:[Social_Marks]])</f>
        <v>66.2</v>
      </c>
      <c r="P40" t="str">
        <f>IF(Table1[[#This Row],[Total_Marks]]&gt;=400,"Top Performer","Need Improvement")</f>
        <v>Need Improvement</v>
      </c>
      <c r="Q40" t="str">
        <f>IF(Table1[[#This Row],[Total_Marks]]&gt;=400,"Excellent",IF(Table1[[#This Row],[Total_Marks]]&gt;=300,"Good",IF(Table1[[#This Row],[Total_Marks]]&gt;=200,"Average","Below Average")))</f>
        <v>Good</v>
      </c>
    </row>
    <row r="41" spans="1:17" x14ac:dyDescent="0.3">
      <c r="A41" t="s">
        <v>52</v>
      </c>
      <c r="B41" t="s">
        <v>647</v>
      </c>
      <c r="C41" t="s">
        <v>827</v>
      </c>
      <c r="D41">
        <v>21</v>
      </c>
      <c r="E41" t="s">
        <v>831</v>
      </c>
      <c r="F41" t="s">
        <v>841</v>
      </c>
      <c r="G41">
        <v>85</v>
      </c>
      <c r="H41">
        <v>2.2000000000000002</v>
      </c>
      <c r="I41">
        <v>61</v>
      </c>
      <c r="J41">
        <v>47</v>
      </c>
      <c r="K41">
        <v>69</v>
      </c>
      <c r="L41">
        <v>57</v>
      </c>
      <c r="M41">
        <v>58</v>
      </c>
      <c r="N41">
        <f>SUM(Table1[[#This Row],[Math_Marks]:[Social_Marks]])</f>
        <v>292</v>
      </c>
      <c r="O41">
        <f>AVERAGE(Table1[[#This Row],[Math_Marks]:[Social_Marks]])</f>
        <v>58.4</v>
      </c>
      <c r="P41" t="str">
        <f>IF(Table1[[#This Row],[Total_Marks]]&gt;=400,"Top Performer","Need Improvement")</f>
        <v>Need Improvement</v>
      </c>
      <c r="Q41" t="str">
        <f>IF(Table1[[#This Row],[Total_Marks]]&gt;=400,"Excellent",IF(Table1[[#This Row],[Total_Marks]]&gt;=300,"Good",IF(Table1[[#This Row],[Total_Marks]]&gt;=200,"Average","Below Average")))</f>
        <v>Average</v>
      </c>
    </row>
    <row r="42" spans="1:17" x14ac:dyDescent="0.3">
      <c r="A42" t="s">
        <v>53</v>
      </c>
      <c r="B42" t="s">
        <v>648</v>
      </c>
      <c r="C42" t="s">
        <v>827</v>
      </c>
      <c r="D42">
        <v>20</v>
      </c>
      <c r="E42" t="s">
        <v>829</v>
      </c>
      <c r="F42" t="s">
        <v>835</v>
      </c>
      <c r="G42">
        <v>80</v>
      </c>
      <c r="H42">
        <v>4.3</v>
      </c>
      <c r="I42">
        <v>79</v>
      </c>
      <c r="J42">
        <v>66</v>
      </c>
      <c r="K42">
        <v>57</v>
      </c>
      <c r="L42">
        <v>77</v>
      </c>
      <c r="M42">
        <v>66</v>
      </c>
      <c r="N42">
        <f>SUM(Table1[[#This Row],[Math_Marks]:[Social_Marks]])</f>
        <v>345</v>
      </c>
      <c r="O42">
        <f>AVERAGE(Table1[[#This Row],[Math_Marks]:[Social_Marks]])</f>
        <v>69</v>
      </c>
      <c r="P42" t="str">
        <f>IF(Table1[[#This Row],[Total_Marks]]&gt;=400,"Top Performer","Need Improvement")</f>
        <v>Need Improvement</v>
      </c>
      <c r="Q42" t="str">
        <f>IF(Table1[[#This Row],[Total_Marks]]&gt;=400,"Excellent",IF(Table1[[#This Row],[Total_Marks]]&gt;=300,"Good",IF(Table1[[#This Row],[Total_Marks]]&gt;=200,"Average","Below Average")))</f>
        <v>Good</v>
      </c>
    </row>
    <row r="43" spans="1:17" x14ac:dyDescent="0.3">
      <c r="A43" t="s">
        <v>54</v>
      </c>
      <c r="B43" t="s">
        <v>649</v>
      </c>
      <c r="C43" t="s">
        <v>827</v>
      </c>
      <c r="D43">
        <v>20</v>
      </c>
      <c r="E43" t="s">
        <v>833</v>
      </c>
      <c r="F43" t="s">
        <v>841</v>
      </c>
      <c r="G43">
        <v>85</v>
      </c>
      <c r="H43">
        <v>6.7</v>
      </c>
      <c r="I43">
        <v>92</v>
      </c>
      <c r="J43">
        <v>92</v>
      </c>
      <c r="K43">
        <v>98</v>
      </c>
      <c r="L43">
        <v>84</v>
      </c>
      <c r="M43">
        <v>94</v>
      </c>
      <c r="N43">
        <f>SUM(Table1[[#This Row],[Math_Marks]:[Social_Marks]])</f>
        <v>460</v>
      </c>
      <c r="O43">
        <f>AVERAGE(Table1[[#This Row],[Math_Marks]:[Social_Marks]])</f>
        <v>92</v>
      </c>
      <c r="P43" t="str">
        <f>IF(Table1[[#This Row],[Total_Marks]]&gt;=400,"Top Performer","Need Improvement")</f>
        <v>Top Performer</v>
      </c>
      <c r="Q43" t="str">
        <f>IF(Table1[[#This Row],[Total_Marks]]&gt;=400,"Excellent",IF(Table1[[#This Row],[Total_Marks]]&gt;=300,"Good",IF(Table1[[#This Row],[Total_Marks]]&gt;=200,"Average","Below Average")))</f>
        <v>Excellent</v>
      </c>
    </row>
    <row r="44" spans="1:17" x14ac:dyDescent="0.3">
      <c r="A44" t="s">
        <v>55</v>
      </c>
      <c r="B44" t="s">
        <v>650</v>
      </c>
      <c r="C44" t="s">
        <v>827</v>
      </c>
      <c r="D44">
        <v>18</v>
      </c>
      <c r="E44" t="s">
        <v>829</v>
      </c>
      <c r="F44" t="s">
        <v>839</v>
      </c>
      <c r="G44">
        <v>67</v>
      </c>
      <c r="H44">
        <v>1</v>
      </c>
      <c r="I44">
        <v>38</v>
      </c>
      <c r="J44">
        <v>40</v>
      </c>
      <c r="K44">
        <v>57</v>
      </c>
      <c r="L44">
        <v>51</v>
      </c>
      <c r="M44">
        <v>34</v>
      </c>
      <c r="N44">
        <f>SUM(Table1[[#This Row],[Math_Marks]:[Social_Marks]])</f>
        <v>220</v>
      </c>
      <c r="O44">
        <f>AVERAGE(Table1[[#This Row],[Math_Marks]:[Social_Marks]])</f>
        <v>44</v>
      </c>
      <c r="P44" t="str">
        <f>IF(Table1[[#This Row],[Total_Marks]]&gt;=400,"Top Performer","Need Improvement")</f>
        <v>Need Improvement</v>
      </c>
      <c r="Q44" t="str">
        <f>IF(Table1[[#This Row],[Total_Marks]]&gt;=400,"Excellent",IF(Table1[[#This Row],[Total_Marks]]&gt;=300,"Good",IF(Table1[[#This Row],[Total_Marks]]&gt;=200,"Average","Below Average")))</f>
        <v>Average</v>
      </c>
    </row>
    <row r="45" spans="1:17" x14ac:dyDescent="0.3">
      <c r="A45" t="s">
        <v>56</v>
      </c>
      <c r="B45" t="s">
        <v>651</v>
      </c>
      <c r="C45" t="s">
        <v>827</v>
      </c>
      <c r="D45">
        <v>20</v>
      </c>
      <c r="E45" t="s">
        <v>834</v>
      </c>
      <c r="F45" t="s">
        <v>837</v>
      </c>
      <c r="G45">
        <v>83</v>
      </c>
      <c r="H45">
        <v>4.7</v>
      </c>
      <c r="I45">
        <v>74</v>
      </c>
      <c r="J45">
        <v>57</v>
      </c>
      <c r="K45">
        <v>66</v>
      </c>
      <c r="L45">
        <v>86</v>
      </c>
      <c r="M45">
        <v>67</v>
      </c>
      <c r="N45">
        <f>SUM(Table1[[#This Row],[Math_Marks]:[Social_Marks]])</f>
        <v>350</v>
      </c>
      <c r="O45">
        <f>AVERAGE(Table1[[#This Row],[Math_Marks]:[Social_Marks]])</f>
        <v>70</v>
      </c>
      <c r="P45" t="str">
        <f>IF(Table1[[#This Row],[Total_Marks]]&gt;=400,"Top Performer","Need Improvement")</f>
        <v>Need Improvement</v>
      </c>
      <c r="Q45" t="str">
        <f>IF(Table1[[#This Row],[Total_Marks]]&gt;=400,"Excellent",IF(Table1[[#This Row],[Total_Marks]]&gt;=300,"Good",IF(Table1[[#This Row],[Total_Marks]]&gt;=200,"Average","Below Average")))</f>
        <v>Good</v>
      </c>
    </row>
    <row r="46" spans="1:17" x14ac:dyDescent="0.3">
      <c r="A46" t="s">
        <v>57</v>
      </c>
      <c r="B46" t="s">
        <v>652</v>
      </c>
      <c r="C46" t="s">
        <v>828</v>
      </c>
      <c r="D46">
        <v>18</v>
      </c>
      <c r="E46" t="s">
        <v>831</v>
      </c>
      <c r="F46" t="s">
        <v>840</v>
      </c>
      <c r="G46">
        <v>81</v>
      </c>
      <c r="H46">
        <v>3.5</v>
      </c>
      <c r="I46">
        <v>61</v>
      </c>
      <c r="J46">
        <v>51</v>
      </c>
      <c r="K46">
        <v>63</v>
      </c>
      <c r="L46">
        <v>66</v>
      </c>
      <c r="M46">
        <v>60</v>
      </c>
      <c r="N46">
        <f>SUM(Table1[[#This Row],[Math_Marks]:[Social_Marks]])</f>
        <v>301</v>
      </c>
      <c r="O46">
        <f>AVERAGE(Table1[[#This Row],[Math_Marks]:[Social_Marks]])</f>
        <v>60.2</v>
      </c>
      <c r="P46" t="str">
        <f>IF(Table1[[#This Row],[Total_Marks]]&gt;=400,"Top Performer","Need Improvement")</f>
        <v>Need Improvement</v>
      </c>
      <c r="Q46" t="str">
        <f>IF(Table1[[#This Row],[Total_Marks]]&gt;=400,"Excellent",IF(Table1[[#This Row],[Total_Marks]]&gt;=300,"Good",IF(Table1[[#This Row],[Total_Marks]]&gt;=200,"Average","Below Average")))</f>
        <v>Good</v>
      </c>
    </row>
    <row r="47" spans="1:17" x14ac:dyDescent="0.3">
      <c r="A47" t="s">
        <v>58</v>
      </c>
      <c r="B47" t="s">
        <v>653</v>
      </c>
      <c r="C47" t="s">
        <v>827</v>
      </c>
      <c r="D47">
        <v>20</v>
      </c>
      <c r="E47" t="s">
        <v>829</v>
      </c>
      <c r="F47" t="s">
        <v>836</v>
      </c>
      <c r="G47">
        <v>90</v>
      </c>
      <c r="H47">
        <v>1.1000000000000001</v>
      </c>
      <c r="I47">
        <v>37</v>
      </c>
      <c r="J47">
        <v>41</v>
      </c>
      <c r="K47">
        <v>64</v>
      </c>
      <c r="L47">
        <v>60</v>
      </c>
      <c r="M47">
        <v>47</v>
      </c>
      <c r="N47">
        <f>SUM(Table1[[#This Row],[Math_Marks]:[Social_Marks]])</f>
        <v>249</v>
      </c>
      <c r="O47">
        <f>AVERAGE(Table1[[#This Row],[Math_Marks]:[Social_Marks]])</f>
        <v>49.8</v>
      </c>
      <c r="P47" t="str">
        <f>IF(Table1[[#This Row],[Total_Marks]]&gt;=400,"Top Performer","Need Improvement")</f>
        <v>Need Improvement</v>
      </c>
      <c r="Q47" t="str">
        <f>IF(Table1[[#This Row],[Total_Marks]]&gt;=400,"Excellent",IF(Table1[[#This Row],[Total_Marks]]&gt;=300,"Good",IF(Table1[[#This Row],[Total_Marks]]&gt;=200,"Average","Below Average")))</f>
        <v>Average</v>
      </c>
    </row>
    <row r="48" spans="1:17" x14ac:dyDescent="0.3">
      <c r="A48" t="s">
        <v>59</v>
      </c>
      <c r="B48" t="s">
        <v>654</v>
      </c>
      <c r="C48" t="s">
        <v>828</v>
      </c>
      <c r="D48">
        <v>20</v>
      </c>
      <c r="E48" t="s">
        <v>829</v>
      </c>
      <c r="F48" t="s">
        <v>840</v>
      </c>
      <c r="G48">
        <v>100</v>
      </c>
      <c r="H48">
        <v>4.5</v>
      </c>
      <c r="I48">
        <v>71</v>
      </c>
      <c r="J48">
        <v>55</v>
      </c>
      <c r="K48">
        <v>65</v>
      </c>
      <c r="L48">
        <v>68</v>
      </c>
      <c r="M48">
        <v>66</v>
      </c>
      <c r="N48">
        <f>SUM(Table1[[#This Row],[Math_Marks]:[Social_Marks]])</f>
        <v>325</v>
      </c>
      <c r="O48">
        <f>AVERAGE(Table1[[#This Row],[Math_Marks]:[Social_Marks]])</f>
        <v>65</v>
      </c>
      <c r="P48" t="str">
        <f>IF(Table1[[#This Row],[Total_Marks]]&gt;=400,"Top Performer","Need Improvement")</f>
        <v>Need Improvement</v>
      </c>
      <c r="Q48" t="str">
        <f>IF(Table1[[#This Row],[Total_Marks]]&gt;=400,"Excellent",IF(Table1[[#This Row],[Total_Marks]]&gt;=300,"Good",IF(Table1[[#This Row],[Total_Marks]]&gt;=200,"Average","Below Average")))</f>
        <v>Good</v>
      </c>
    </row>
    <row r="49" spans="1:17" x14ac:dyDescent="0.3">
      <c r="A49" t="s">
        <v>60</v>
      </c>
      <c r="B49" t="s">
        <v>655</v>
      </c>
      <c r="C49" t="s">
        <v>828</v>
      </c>
      <c r="D49">
        <v>20</v>
      </c>
      <c r="E49" t="s">
        <v>830</v>
      </c>
      <c r="F49" t="s">
        <v>836</v>
      </c>
      <c r="G49">
        <v>75</v>
      </c>
      <c r="H49">
        <v>5.0999999999999996</v>
      </c>
      <c r="I49">
        <v>72</v>
      </c>
      <c r="J49">
        <v>72</v>
      </c>
      <c r="K49">
        <v>90</v>
      </c>
      <c r="L49">
        <v>78</v>
      </c>
      <c r="M49">
        <v>91</v>
      </c>
      <c r="N49">
        <f>SUM(Table1[[#This Row],[Math_Marks]:[Social_Marks]])</f>
        <v>403</v>
      </c>
      <c r="O49">
        <f>AVERAGE(Table1[[#This Row],[Math_Marks]:[Social_Marks]])</f>
        <v>80.599999999999994</v>
      </c>
      <c r="P49" t="str">
        <f>IF(Table1[[#This Row],[Total_Marks]]&gt;=400,"Top Performer","Need Improvement")</f>
        <v>Top Performer</v>
      </c>
      <c r="Q49" t="str">
        <f>IF(Table1[[#This Row],[Total_Marks]]&gt;=400,"Excellent",IF(Table1[[#This Row],[Total_Marks]]&gt;=300,"Good",IF(Table1[[#This Row],[Total_Marks]]&gt;=200,"Average","Below Average")))</f>
        <v>Excellent</v>
      </c>
    </row>
    <row r="50" spans="1:17" x14ac:dyDescent="0.3">
      <c r="A50" t="s">
        <v>61</v>
      </c>
      <c r="B50" t="s">
        <v>656</v>
      </c>
      <c r="C50" t="s">
        <v>828</v>
      </c>
      <c r="D50">
        <v>22</v>
      </c>
      <c r="E50" t="s">
        <v>833</v>
      </c>
      <c r="F50" t="s">
        <v>835</v>
      </c>
      <c r="G50">
        <v>84</v>
      </c>
      <c r="H50">
        <v>6.1</v>
      </c>
      <c r="I50">
        <v>64</v>
      </c>
      <c r="J50">
        <v>68</v>
      </c>
      <c r="K50">
        <v>75</v>
      </c>
      <c r="L50">
        <v>59</v>
      </c>
      <c r="M50">
        <v>76</v>
      </c>
      <c r="N50">
        <f>SUM(Table1[[#This Row],[Math_Marks]:[Social_Marks]])</f>
        <v>342</v>
      </c>
      <c r="O50">
        <f>AVERAGE(Table1[[#This Row],[Math_Marks]:[Social_Marks]])</f>
        <v>68.400000000000006</v>
      </c>
      <c r="P50" t="str">
        <f>IF(Table1[[#This Row],[Total_Marks]]&gt;=400,"Top Performer","Need Improvement")</f>
        <v>Need Improvement</v>
      </c>
      <c r="Q50" t="str">
        <f>IF(Table1[[#This Row],[Total_Marks]]&gt;=400,"Excellent",IF(Table1[[#This Row],[Total_Marks]]&gt;=300,"Good",IF(Table1[[#This Row],[Total_Marks]]&gt;=200,"Average","Below Average")))</f>
        <v>Good</v>
      </c>
    </row>
    <row r="51" spans="1:17" x14ac:dyDescent="0.3">
      <c r="A51" t="s">
        <v>62</v>
      </c>
      <c r="B51" t="s">
        <v>657</v>
      </c>
      <c r="C51" t="s">
        <v>827</v>
      </c>
      <c r="D51">
        <v>21</v>
      </c>
      <c r="E51" t="s">
        <v>830</v>
      </c>
      <c r="F51" t="s">
        <v>839</v>
      </c>
      <c r="G51">
        <v>74</v>
      </c>
      <c r="H51">
        <v>1.3</v>
      </c>
      <c r="I51">
        <v>49</v>
      </c>
      <c r="J51">
        <v>45</v>
      </c>
      <c r="K51">
        <v>45</v>
      </c>
      <c r="L51">
        <v>45</v>
      </c>
      <c r="M51">
        <v>48</v>
      </c>
      <c r="N51">
        <f>SUM(Table1[[#This Row],[Math_Marks]:[Social_Marks]])</f>
        <v>232</v>
      </c>
      <c r="O51">
        <f>AVERAGE(Table1[[#This Row],[Math_Marks]:[Social_Marks]])</f>
        <v>46.4</v>
      </c>
      <c r="P51" t="str">
        <f>IF(Table1[[#This Row],[Total_Marks]]&gt;=400,"Top Performer","Need Improvement")</f>
        <v>Need Improvement</v>
      </c>
      <c r="Q51" t="str">
        <f>IF(Table1[[#This Row],[Total_Marks]]&gt;=400,"Excellent",IF(Table1[[#This Row],[Total_Marks]]&gt;=300,"Good",IF(Table1[[#This Row],[Total_Marks]]&gt;=200,"Average","Below Average")))</f>
        <v>Average</v>
      </c>
    </row>
    <row r="52" spans="1:17" x14ac:dyDescent="0.3">
      <c r="A52" t="s">
        <v>63</v>
      </c>
      <c r="B52" t="s">
        <v>658</v>
      </c>
      <c r="C52" t="s">
        <v>828</v>
      </c>
      <c r="D52">
        <v>22</v>
      </c>
      <c r="E52" t="s">
        <v>830</v>
      </c>
      <c r="F52" t="s">
        <v>842</v>
      </c>
      <c r="G52">
        <v>85</v>
      </c>
      <c r="H52">
        <v>4.5999999999999996</v>
      </c>
      <c r="I52">
        <v>86</v>
      </c>
      <c r="J52">
        <v>69</v>
      </c>
      <c r="K52">
        <v>68</v>
      </c>
      <c r="L52">
        <v>64</v>
      </c>
      <c r="M52">
        <v>62</v>
      </c>
      <c r="N52">
        <f>SUM(Table1[[#This Row],[Math_Marks]:[Social_Marks]])</f>
        <v>349</v>
      </c>
      <c r="O52">
        <f>AVERAGE(Table1[[#This Row],[Math_Marks]:[Social_Marks]])</f>
        <v>69.8</v>
      </c>
      <c r="P52" t="str">
        <f>IF(Table1[[#This Row],[Total_Marks]]&gt;=400,"Top Performer","Need Improvement")</f>
        <v>Need Improvement</v>
      </c>
      <c r="Q52" t="str">
        <f>IF(Table1[[#This Row],[Total_Marks]]&gt;=400,"Excellent",IF(Table1[[#This Row],[Total_Marks]]&gt;=300,"Good",IF(Table1[[#This Row],[Total_Marks]]&gt;=200,"Average","Below Average")))</f>
        <v>Good</v>
      </c>
    </row>
    <row r="53" spans="1:17" x14ac:dyDescent="0.3">
      <c r="A53" t="s">
        <v>64</v>
      </c>
      <c r="B53" t="s">
        <v>659</v>
      </c>
      <c r="C53" t="s">
        <v>827</v>
      </c>
      <c r="D53">
        <v>22</v>
      </c>
      <c r="E53" t="s">
        <v>829</v>
      </c>
      <c r="F53" t="s">
        <v>841</v>
      </c>
      <c r="G53">
        <v>74</v>
      </c>
      <c r="H53">
        <v>3.7</v>
      </c>
      <c r="I53">
        <v>65</v>
      </c>
      <c r="J53">
        <v>58</v>
      </c>
      <c r="K53">
        <v>72</v>
      </c>
      <c r="L53">
        <v>70</v>
      </c>
      <c r="M53">
        <v>63</v>
      </c>
      <c r="N53">
        <f>SUM(Table1[[#This Row],[Math_Marks]:[Social_Marks]])</f>
        <v>328</v>
      </c>
      <c r="O53">
        <f>AVERAGE(Table1[[#This Row],[Math_Marks]:[Social_Marks]])</f>
        <v>65.599999999999994</v>
      </c>
      <c r="P53" t="str">
        <f>IF(Table1[[#This Row],[Total_Marks]]&gt;=400,"Top Performer","Need Improvement")</f>
        <v>Need Improvement</v>
      </c>
      <c r="Q53" t="str">
        <f>IF(Table1[[#This Row],[Total_Marks]]&gt;=400,"Excellent",IF(Table1[[#This Row],[Total_Marks]]&gt;=300,"Good",IF(Table1[[#This Row],[Total_Marks]]&gt;=200,"Average","Below Average")))</f>
        <v>Good</v>
      </c>
    </row>
    <row r="54" spans="1:17" x14ac:dyDescent="0.3">
      <c r="A54" t="s">
        <v>65</v>
      </c>
      <c r="B54" t="s">
        <v>614</v>
      </c>
      <c r="C54" t="s">
        <v>828</v>
      </c>
      <c r="D54">
        <v>20</v>
      </c>
      <c r="E54" t="s">
        <v>829</v>
      </c>
      <c r="F54" t="s">
        <v>842</v>
      </c>
      <c r="G54">
        <v>68</v>
      </c>
      <c r="H54">
        <v>3.7</v>
      </c>
      <c r="I54">
        <v>55</v>
      </c>
      <c r="J54">
        <v>64</v>
      </c>
      <c r="K54">
        <v>51</v>
      </c>
      <c r="L54">
        <v>73</v>
      </c>
      <c r="M54">
        <v>73</v>
      </c>
      <c r="N54">
        <f>SUM(Table1[[#This Row],[Math_Marks]:[Social_Marks]])</f>
        <v>316</v>
      </c>
      <c r="O54">
        <f>AVERAGE(Table1[[#This Row],[Math_Marks]:[Social_Marks]])</f>
        <v>63.2</v>
      </c>
      <c r="P54" t="str">
        <f>IF(Table1[[#This Row],[Total_Marks]]&gt;=400,"Top Performer","Need Improvement")</f>
        <v>Need Improvement</v>
      </c>
      <c r="Q54" t="str">
        <f>IF(Table1[[#This Row],[Total_Marks]]&gt;=400,"Excellent",IF(Table1[[#This Row],[Total_Marks]]&gt;=300,"Good",IF(Table1[[#This Row],[Total_Marks]]&gt;=200,"Average","Below Average")))</f>
        <v>Good</v>
      </c>
    </row>
    <row r="55" spans="1:17" x14ac:dyDescent="0.3">
      <c r="A55" t="s">
        <v>66</v>
      </c>
      <c r="B55" t="s">
        <v>613</v>
      </c>
      <c r="C55" t="s">
        <v>828</v>
      </c>
      <c r="D55">
        <v>20</v>
      </c>
      <c r="E55" t="s">
        <v>831</v>
      </c>
      <c r="F55" t="s">
        <v>837</v>
      </c>
      <c r="G55">
        <v>71</v>
      </c>
      <c r="H55">
        <v>3.4</v>
      </c>
      <c r="I55">
        <v>58</v>
      </c>
      <c r="J55">
        <v>69</v>
      </c>
      <c r="K55">
        <v>43</v>
      </c>
      <c r="L55">
        <v>46</v>
      </c>
      <c r="M55">
        <v>55</v>
      </c>
      <c r="N55">
        <f>SUM(Table1[[#This Row],[Math_Marks]:[Social_Marks]])</f>
        <v>271</v>
      </c>
      <c r="O55">
        <f>AVERAGE(Table1[[#This Row],[Math_Marks]:[Social_Marks]])</f>
        <v>54.2</v>
      </c>
      <c r="P55" t="str">
        <f>IF(Table1[[#This Row],[Total_Marks]]&gt;=400,"Top Performer","Need Improvement")</f>
        <v>Need Improvement</v>
      </c>
      <c r="Q55" t="str">
        <f>IF(Table1[[#This Row],[Total_Marks]]&gt;=400,"Excellent",IF(Table1[[#This Row],[Total_Marks]]&gt;=300,"Good",IF(Table1[[#This Row],[Total_Marks]]&gt;=200,"Average","Below Average")))</f>
        <v>Average</v>
      </c>
    </row>
    <row r="56" spans="1:17" x14ac:dyDescent="0.3">
      <c r="A56" t="s">
        <v>67</v>
      </c>
      <c r="B56" t="s">
        <v>660</v>
      </c>
      <c r="C56" t="s">
        <v>827</v>
      </c>
      <c r="D56">
        <v>18</v>
      </c>
      <c r="E56" t="s">
        <v>831</v>
      </c>
      <c r="F56" t="s">
        <v>842</v>
      </c>
      <c r="G56">
        <v>98</v>
      </c>
      <c r="H56">
        <v>1.3</v>
      </c>
      <c r="I56">
        <v>45</v>
      </c>
      <c r="J56">
        <v>45</v>
      </c>
      <c r="K56">
        <v>55</v>
      </c>
      <c r="L56">
        <v>51</v>
      </c>
      <c r="M56">
        <v>35</v>
      </c>
      <c r="N56">
        <f>SUM(Table1[[#This Row],[Math_Marks]:[Social_Marks]])</f>
        <v>231</v>
      </c>
      <c r="O56">
        <f>AVERAGE(Table1[[#This Row],[Math_Marks]:[Social_Marks]])</f>
        <v>46.2</v>
      </c>
      <c r="P56" t="str">
        <f>IF(Table1[[#This Row],[Total_Marks]]&gt;=400,"Top Performer","Need Improvement")</f>
        <v>Need Improvement</v>
      </c>
      <c r="Q56" t="str">
        <f>IF(Table1[[#This Row],[Total_Marks]]&gt;=400,"Excellent",IF(Table1[[#This Row],[Total_Marks]]&gt;=300,"Good",IF(Table1[[#This Row],[Total_Marks]]&gt;=200,"Average","Below Average")))</f>
        <v>Average</v>
      </c>
    </row>
    <row r="57" spans="1:17" x14ac:dyDescent="0.3">
      <c r="A57" t="s">
        <v>68</v>
      </c>
      <c r="B57" t="s">
        <v>661</v>
      </c>
      <c r="C57" t="s">
        <v>827</v>
      </c>
      <c r="D57">
        <v>21</v>
      </c>
      <c r="E57" t="s">
        <v>834</v>
      </c>
      <c r="F57" t="s">
        <v>838</v>
      </c>
      <c r="G57">
        <v>76</v>
      </c>
      <c r="H57">
        <v>2.8</v>
      </c>
      <c r="I57">
        <v>69</v>
      </c>
      <c r="J57">
        <v>66</v>
      </c>
      <c r="K57">
        <v>49</v>
      </c>
      <c r="L57">
        <v>67</v>
      </c>
      <c r="M57">
        <v>54</v>
      </c>
      <c r="N57">
        <f>SUM(Table1[[#This Row],[Math_Marks]:[Social_Marks]])</f>
        <v>305</v>
      </c>
      <c r="O57">
        <f>AVERAGE(Table1[[#This Row],[Math_Marks]:[Social_Marks]])</f>
        <v>61</v>
      </c>
      <c r="P57" t="str">
        <f>IF(Table1[[#This Row],[Total_Marks]]&gt;=400,"Top Performer","Need Improvement")</f>
        <v>Need Improvement</v>
      </c>
      <c r="Q57" t="str">
        <f>IF(Table1[[#This Row],[Total_Marks]]&gt;=400,"Excellent",IF(Table1[[#This Row],[Total_Marks]]&gt;=300,"Good",IF(Table1[[#This Row],[Total_Marks]]&gt;=200,"Average","Below Average")))</f>
        <v>Good</v>
      </c>
    </row>
    <row r="58" spans="1:17" x14ac:dyDescent="0.3">
      <c r="A58" t="s">
        <v>69</v>
      </c>
      <c r="B58" t="s">
        <v>662</v>
      </c>
      <c r="C58" t="s">
        <v>828</v>
      </c>
      <c r="D58">
        <v>21</v>
      </c>
      <c r="E58" t="s">
        <v>834</v>
      </c>
      <c r="F58" t="s">
        <v>835</v>
      </c>
      <c r="G58">
        <v>74</v>
      </c>
      <c r="H58">
        <v>1.9</v>
      </c>
      <c r="I58">
        <v>62</v>
      </c>
      <c r="J58">
        <v>55</v>
      </c>
      <c r="K58">
        <v>71</v>
      </c>
      <c r="L58">
        <v>56</v>
      </c>
      <c r="M58">
        <v>60</v>
      </c>
      <c r="N58">
        <f>SUM(Table1[[#This Row],[Math_Marks]:[Social_Marks]])</f>
        <v>304</v>
      </c>
      <c r="O58">
        <f>AVERAGE(Table1[[#This Row],[Math_Marks]:[Social_Marks]])</f>
        <v>60.8</v>
      </c>
      <c r="P58" t="str">
        <f>IF(Table1[[#This Row],[Total_Marks]]&gt;=400,"Top Performer","Need Improvement")</f>
        <v>Need Improvement</v>
      </c>
      <c r="Q58" t="str">
        <f>IF(Table1[[#This Row],[Total_Marks]]&gt;=400,"Excellent",IF(Table1[[#This Row],[Total_Marks]]&gt;=300,"Good",IF(Table1[[#This Row],[Total_Marks]]&gt;=200,"Average","Below Average")))</f>
        <v>Good</v>
      </c>
    </row>
    <row r="59" spans="1:17" x14ac:dyDescent="0.3">
      <c r="A59" t="s">
        <v>70</v>
      </c>
      <c r="B59" t="s">
        <v>663</v>
      </c>
      <c r="C59" t="s">
        <v>828</v>
      </c>
      <c r="D59">
        <v>20</v>
      </c>
      <c r="E59" t="s">
        <v>834</v>
      </c>
      <c r="F59" t="s">
        <v>838</v>
      </c>
      <c r="G59">
        <v>77</v>
      </c>
      <c r="H59">
        <v>3.2</v>
      </c>
      <c r="I59">
        <v>62</v>
      </c>
      <c r="J59">
        <v>51</v>
      </c>
      <c r="K59">
        <v>83</v>
      </c>
      <c r="L59">
        <v>91</v>
      </c>
      <c r="M59">
        <v>67</v>
      </c>
      <c r="N59">
        <f>SUM(Table1[[#This Row],[Math_Marks]:[Social_Marks]])</f>
        <v>354</v>
      </c>
      <c r="O59">
        <f>AVERAGE(Table1[[#This Row],[Math_Marks]:[Social_Marks]])</f>
        <v>70.8</v>
      </c>
      <c r="P59" t="str">
        <f>IF(Table1[[#This Row],[Total_Marks]]&gt;=400,"Top Performer","Need Improvement")</f>
        <v>Need Improvement</v>
      </c>
      <c r="Q59" t="str">
        <f>IF(Table1[[#This Row],[Total_Marks]]&gt;=400,"Excellent",IF(Table1[[#This Row],[Total_Marks]]&gt;=300,"Good",IF(Table1[[#This Row],[Total_Marks]]&gt;=200,"Average","Below Average")))</f>
        <v>Good</v>
      </c>
    </row>
    <row r="60" spans="1:17" x14ac:dyDescent="0.3">
      <c r="A60" t="s">
        <v>71</v>
      </c>
      <c r="B60" t="s">
        <v>664</v>
      </c>
      <c r="C60" t="s">
        <v>828</v>
      </c>
      <c r="D60">
        <v>18</v>
      </c>
      <c r="E60" t="s">
        <v>829</v>
      </c>
      <c r="F60" t="s">
        <v>842</v>
      </c>
      <c r="G60">
        <v>80</v>
      </c>
      <c r="H60">
        <v>2.1</v>
      </c>
      <c r="I60">
        <v>65</v>
      </c>
      <c r="J60">
        <v>49</v>
      </c>
      <c r="K60">
        <v>67</v>
      </c>
      <c r="L60">
        <v>77</v>
      </c>
      <c r="M60">
        <v>62</v>
      </c>
      <c r="N60">
        <f>SUM(Table1[[#This Row],[Math_Marks]:[Social_Marks]])</f>
        <v>320</v>
      </c>
      <c r="O60">
        <f>AVERAGE(Table1[[#This Row],[Math_Marks]:[Social_Marks]])</f>
        <v>64</v>
      </c>
      <c r="P60" t="str">
        <f>IF(Table1[[#This Row],[Total_Marks]]&gt;=400,"Top Performer","Need Improvement")</f>
        <v>Need Improvement</v>
      </c>
      <c r="Q60" t="str">
        <f>IF(Table1[[#This Row],[Total_Marks]]&gt;=400,"Excellent",IF(Table1[[#This Row],[Total_Marks]]&gt;=300,"Good",IF(Table1[[#This Row],[Total_Marks]]&gt;=200,"Average","Below Average")))</f>
        <v>Good</v>
      </c>
    </row>
    <row r="61" spans="1:17" x14ac:dyDescent="0.3">
      <c r="A61" t="s">
        <v>72</v>
      </c>
      <c r="B61" t="s">
        <v>665</v>
      </c>
      <c r="C61" t="s">
        <v>828</v>
      </c>
      <c r="D61">
        <v>18</v>
      </c>
      <c r="E61" t="s">
        <v>833</v>
      </c>
      <c r="F61" t="s">
        <v>841</v>
      </c>
      <c r="G61">
        <v>66</v>
      </c>
      <c r="H61">
        <v>4</v>
      </c>
      <c r="I61">
        <v>74</v>
      </c>
      <c r="J61">
        <v>57</v>
      </c>
      <c r="K61">
        <v>72</v>
      </c>
      <c r="L61">
        <v>50</v>
      </c>
      <c r="M61">
        <v>63</v>
      </c>
      <c r="N61">
        <f>SUM(Table1[[#This Row],[Math_Marks]:[Social_Marks]])</f>
        <v>316</v>
      </c>
      <c r="O61">
        <f>AVERAGE(Table1[[#This Row],[Math_Marks]:[Social_Marks]])</f>
        <v>63.2</v>
      </c>
      <c r="P61" t="str">
        <f>IF(Table1[[#This Row],[Total_Marks]]&gt;=400,"Top Performer","Need Improvement")</f>
        <v>Need Improvement</v>
      </c>
      <c r="Q61" t="str">
        <f>IF(Table1[[#This Row],[Total_Marks]]&gt;=400,"Excellent",IF(Table1[[#This Row],[Total_Marks]]&gt;=300,"Good",IF(Table1[[#This Row],[Total_Marks]]&gt;=200,"Average","Below Average")))</f>
        <v>Good</v>
      </c>
    </row>
    <row r="62" spans="1:17" x14ac:dyDescent="0.3">
      <c r="A62" t="s">
        <v>73</v>
      </c>
      <c r="B62" t="s">
        <v>666</v>
      </c>
      <c r="C62" t="s">
        <v>828</v>
      </c>
      <c r="D62">
        <v>22</v>
      </c>
      <c r="E62" t="s">
        <v>829</v>
      </c>
      <c r="F62" t="s">
        <v>837</v>
      </c>
      <c r="G62">
        <v>92</v>
      </c>
      <c r="H62">
        <v>3.3</v>
      </c>
      <c r="I62">
        <v>52</v>
      </c>
      <c r="J62">
        <v>45</v>
      </c>
      <c r="K62">
        <v>50</v>
      </c>
      <c r="L62">
        <v>52</v>
      </c>
      <c r="M62">
        <v>39</v>
      </c>
      <c r="N62">
        <f>SUM(Table1[[#This Row],[Math_Marks]:[Social_Marks]])</f>
        <v>238</v>
      </c>
      <c r="O62">
        <f>AVERAGE(Table1[[#This Row],[Math_Marks]:[Social_Marks]])</f>
        <v>47.6</v>
      </c>
      <c r="P62" t="str">
        <f>IF(Table1[[#This Row],[Total_Marks]]&gt;=400,"Top Performer","Need Improvement")</f>
        <v>Need Improvement</v>
      </c>
      <c r="Q62" t="str">
        <f>IF(Table1[[#This Row],[Total_Marks]]&gt;=400,"Excellent",IF(Table1[[#This Row],[Total_Marks]]&gt;=300,"Good",IF(Table1[[#This Row],[Total_Marks]]&gt;=200,"Average","Below Average")))</f>
        <v>Average</v>
      </c>
    </row>
    <row r="63" spans="1:17" x14ac:dyDescent="0.3">
      <c r="A63" t="s">
        <v>74</v>
      </c>
      <c r="B63" t="s">
        <v>667</v>
      </c>
      <c r="C63" t="s">
        <v>828</v>
      </c>
      <c r="D63">
        <v>19</v>
      </c>
      <c r="E63" t="s">
        <v>831</v>
      </c>
      <c r="F63" t="s">
        <v>841</v>
      </c>
      <c r="G63">
        <v>58</v>
      </c>
      <c r="H63">
        <v>5</v>
      </c>
      <c r="I63">
        <v>60</v>
      </c>
      <c r="J63">
        <v>55</v>
      </c>
      <c r="K63">
        <v>72</v>
      </c>
      <c r="L63">
        <v>68</v>
      </c>
      <c r="M63">
        <v>85</v>
      </c>
      <c r="N63">
        <f>SUM(Table1[[#This Row],[Math_Marks]:[Social_Marks]])</f>
        <v>340</v>
      </c>
      <c r="O63">
        <f>AVERAGE(Table1[[#This Row],[Math_Marks]:[Social_Marks]])</f>
        <v>68</v>
      </c>
      <c r="P63" t="str">
        <f>IF(Table1[[#This Row],[Total_Marks]]&gt;=400,"Top Performer","Need Improvement")</f>
        <v>Need Improvement</v>
      </c>
      <c r="Q63" t="str">
        <f>IF(Table1[[#This Row],[Total_Marks]]&gt;=400,"Excellent",IF(Table1[[#This Row],[Total_Marks]]&gt;=300,"Good",IF(Table1[[#This Row],[Total_Marks]]&gt;=200,"Average","Below Average")))</f>
        <v>Good</v>
      </c>
    </row>
    <row r="64" spans="1:17" x14ac:dyDescent="0.3">
      <c r="A64" t="s">
        <v>75</v>
      </c>
      <c r="B64" t="s">
        <v>668</v>
      </c>
      <c r="C64" t="s">
        <v>827</v>
      </c>
      <c r="D64">
        <v>20</v>
      </c>
      <c r="E64" t="s">
        <v>834</v>
      </c>
      <c r="F64" t="s">
        <v>835</v>
      </c>
      <c r="G64">
        <v>89</v>
      </c>
      <c r="H64">
        <v>4.7</v>
      </c>
      <c r="I64">
        <v>74</v>
      </c>
      <c r="J64">
        <v>75</v>
      </c>
      <c r="K64">
        <v>74</v>
      </c>
      <c r="L64">
        <v>84</v>
      </c>
      <c r="M64">
        <v>90</v>
      </c>
      <c r="N64">
        <f>SUM(Table1[[#This Row],[Math_Marks]:[Social_Marks]])</f>
        <v>397</v>
      </c>
      <c r="O64">
        <f>AVERAGE(Table1[[#This Row],[Math_Marks]:[Social_Marks]])</f>
        <v>79.400000000000006</v>
      </c>
      <c r="P64" t="str">
        <f>IF(Table1[[#This Row],[Total_Marks]]&gt;=400,"Top Performer","Need Improvement")</f>
        <v>Need Improvement</v>
      </c>
      <c r="Q64" t="str">
        <f>IF(Table1[[#This Row],[Total_Marks]]&gt;=400,"Excellent",IF(Table1[[#This Row],[Total_Marks]]&gt;=300,"Good",IF(Table1[[#This Row],[Total_Marks]]&gt;=200,"Average","Below Average")))</f>
        <v>Good</v>
      </c>
    </row>
    <row r="65" spans="1:17" x14ac:dyDescent="0.3">
      <c r="A65" t="s">
        <v>76</v>
      </c>
      <c r="B65" t="s">
        <v>669</v>
      </c>
      <c r="C65" t="s">
        <v>827</v>
      </c>
      <c r="D65">
        <v>21</v>
      </c>
      <c r="E65" t="s">
        <v>831</v>
      </c>
      <c r="F65" t="s">
        <v>841</v>
      </c>
      <c r="G65">
        <v>79</v>
      </c>
      <c r="H65">
        <v>5.2</v>
      </c>
      <c r="I65">
        <v>47</v>
      </c>
      <c r="J65">
        <v>47</v>
      </c>
      <c r="K65">
        <v>35</v>
      </c>
      <c r="L65">
        <v>46</v>
      </c>
      <c r="M65">
        <v>46</v>
      </c>
      <c r="N65">
        <f>SUM(Table1[[#This Row],[Math_Marks]:[Social_Marks]])</f>
        <v>221</v>
      </c>
      <c r="O65">
        <f>AVERAGE(Table1[[#This Row],[Math_Marks]:[Social_Marks]])</f>
        <v>44.2</v>
      </c>
      <c r="P65" t="str">
        <f>IF(Table1[[#This Row],[Total_Marks]]&gt;=400,"Top Performer","Need Improvement")</f>
        <v>Need Improvement</v>
      </c>
      <c r="Q65" t="str">
        <f>IF(Table1[[#This Row],[Total_Marks]]&gt;=400,"Excellent",IF(Table1[[#This Row],[Total_Marks]]&gt;=300,"Good",IF(Table1[[#This Row],[Total_Marks]]&gt;=200,"Average","Below Average")))</f>
        <v>Average</v>
      </c>
    </row>
    <row r="66" spans="1:17" x14ac:dyDescent="0.3">
      <c r="A66" t="s">
        <v>77</v>
      </c>
      <c r="B66" t="s">
        <v>670</v>
      </c>
      <c r="C66" t="s">
        <v>827</v>
      </c>
      <c r="D66">
        <v>18</v>
      </c>
      <c r="E66" t="s">
        <v>832</v>
      </c>
      <c r="F66" t="s">
        <v>838</v>
      </c>
      <c r="G66">
        <v>72</v>
      </c>
      <c r="H66">
        <v>3.7</v>
      </c>
      <c r="I66">
        <v>61</v>
      </c>
      <c r="J66">
        <v>62</v>
      </c>
      <c r="K66">
        <v>73</v>
      </c>
      <c r="L66">
        <v>67</v>
      </c>
      <c r="M66">
        <v>74</v>
      </c>
      <c r="N66">
        <f>SUM(Table1[[#This Row],[Math_Marks]:[Social_Marks]])</f>
        <v>337</v>
      </c>
      <c r="O66">
        <f>AVERAGE(Table1[[#This Row],[Math_Marks]:[Social_Marks]])</f>
        <v>67.400000000000006</v>
      </c>
      <c r="P66" t="str">
        <f>IF(Table1[[#This Row],[Total_Marks]]&gt;=400,"Top Performer","Need Improvement")</f>
        <v>Need Improvement</v>
      </c>
      <c r="Q66" t="str">
        <f>IF(Table1[[#This Row],[Total_Marks]]&gt;=400,"Excellent",IF(Table1[[#This Row],[Total_Marks]]&gt;=300,"Good",IF(Table1[[#This Row],[Total_Marks]]&gt;=200,"Average","Below Average")))</f>
        <v>Good</v>
      </c>
    </row>
    <row r="67" spans="1:17" x14ac:dyDescent="0.3">
      <c r="A67" t="s">
        <v>78</v>
      </c>
      <c r="B67" t="s">
        <v>666</v>
      </c>
      <c r="C67" t="s">
        <v>827</v>
      </c>
      <c r="D67">
        <v>20</v>
      </c>
      <c r="E67" t="s">
        <v>833</v>
      </c>
      <c r="F67" t="s">
        <v>835</v>
      </c>
      <c r="G67">
        <v>81</v>
      </c>
      <c r="H67">
        <v>3.5</v>
      </c>
      <c r="I67">
        <v>42</v>
      </c>
      <c r="J67">
        <v>60</v>
      </c>
      <c r="K67">
        <v>52</v>
      </c>
      <c r="L67">
        <v>46</v>
      </c>
      <c r="M67">
        <v>54</v>
      </c>
      <c r="N67">
        <f>SUM(Table1[[#This Row],[Math_Marks]:[Social_Marks]])</f>
        <v>254</v>
      </c>
      <c r="O67">
        <f>AVERAGE(Table1[[#This Row],[Math_Marks]:[Social_Marks]])</f>
        <v>50.8</v>
      </c>
      <c r="P67" t="str">
        <f>IF(Table1[[#This Row],[Total_Marks]]&gt;=400,"Top Performer","Need Improvement")</f>
        <v>Need Improvement</v>
      </c>
      <c r="Q67" t="str">
        <f>IF(Table1[[#This Row],[Total_Marks]]&gt;=400,"Excellent",IF(Table1[[#This Row],[Total_Marks]]&gt;=300,"Good",IF(Table1[[#This Row],[Total_Marks]]&gt;=200,"Average","Below Average")))</f>
        <v>Average</v>
      </c>
    </row>
    <row r="68" spans="1:17" x14ac:dyDescent="0.3">
      <c r="A68" t="s">
        <v>79</v>
      </c>
      <c r="B68" t="s">
        <v>671</v>
      </c>
      <c r="C68" t="s">
        <v>827</v>
      </c>
      <c r="D68">
        <v>22</v>
      </c>
      <c r="E68" t="s">
        <v>832</v>
      </c>
      <c r="F68" t="s">
        <v>839</v>
      </c>
      <c r="G68">
        <v>73</v>
      </c>
      <c r="H68">
        <v>6</v>
      </c>
      <c r="I68">
        <v>79</v>
      </c>
      <c r="J68">
        <v>64</v>
      </c>
      <c r="K68">
        <v>64</v>
      </c>
      <c r="L68">
        <v>77</v>
      </c>
      <c r="M68">
        <v>74</v>
      </c>
      <c r="N68">
        <f>SUM(Table1[[#This Row],[Math_Marks]:[Social_Marks]])</f>
        <v>358</v>
      </c>
      <c r="O68">
        <f>AVERAGE(Table1[[#This Row],[Math_Marks]:[Social_Marks]])</f>
        <v>71.599999999999994</v>
      </c>
      <c r="P68" t="str">
        <f>IF(Table1[[#This Row],[Total_Marks]]&gt;=400,"Top Performer","Need Improvement")</f>
        <v>Need Improvement</v>
      </c>
      <c r="Q68" t="str">
        <f>IF(Table1[[#This Row],[Total_Marks]]&gt;=400,"Excellent",IF(Table1[[#This Row],[Total_Marks]]&gt;=300,"Good",IF(Table1[[#This Row],[Total_Marks]]&gt;=200,"Average","Below Average")))</f>
        <v>Good</v>
      </c>
    </row>
    <row r="69" spans="1:17" x14ac:dyDescent="0.3">
      <c r="A69" t="s">
        <v>80</v>
      </c>
      <c r="B69" t="s">
        <v>672</v>
      </c>
      <c r="C69" t="s">
        <v>828</v>
      </c>
      <c r="D69">
        <v>18</v>
      </c>
      <c r="E69" t="s">
        <v>833</v>
      </c>
      <c r="F69" t="s">
        <v>840</v>
      </c>
      <c r="G69">
        <v>83</v>
      </c>
      <c r="H69">
        <v>5</v>
      </c>
      <c r="I69">
        <v>62</v>
      </c>
      <c r="J69">
        <v>57</v>
      </c>
      <c r="K69">
        <v>83</v>
      </c>
      <c r="L69">
        <v>84</v>
      </c>
      <c r="M69">
        <v>67</v>
      </c>
      <c r="N69">
        <f>SUM(Table1[[#This Row],[Math_Marks]:[Social_Marks]])</f>
        <v>353</v>
      </c>
      <c r="O69">
        <f>AVERAGE(Table1[[#This Row],[Math_Marks]:[Social_Marks]])</f>
        <v>70.599999999999994</v>
      </c>
      <c r="P69" t="str">
        <f>IF(Table1[[#This Row],[Total_Marks]]&gt;=400,"Top Performer","Need Improvement")</f>
        <v>Need Improvement</v>
      </c>
      <c r="Q69" t="str">
        <f>IF(Table1[[#This Row],[Total_Marks]]&gt;=400,"Excellent",IF(Table1[[#This Row],[Total_Marks]]&gt;=300,"Good",IF(Table1[[#This Row],[Total_Marks]]&gt;=200,"Average","Below Average")))</f>
        <v>Good</v>
      </c>
    </row>
    <row r="70" spans="1:17" x14ac:dyDescent="0.3">
      <c r="A70" t="s">
        <v>81</v>
      </c>
      <c r="B70" t="s">
        <v>673</v>
      </c>
      <c r="C70" t="s">
        <v>828</v>
      </c>
      <c r="D70">
        <v>19</v>
      </c>
      <c r="E70" t="s">
        <v>833</v>
      </c>
      <c r="F70" t="s">
        <v>835</v>
      </c>
      <c r="G70">
        <v>98</v>
      </c>
      <c r="H70">
        <v>4.5999999999999996</v>
      </c>
      <c r="I70">
        <v>61</v>
      </c>
      <c r="J70">
        <v>68</v>
      </c>
      <c r="K70">
        <v>66</v>
      </c>
      <c r="L70">
        <v>60</v>
      </c>
      <c r="M70">
        <v>85</v>
      </c>
      <c r="N70">
        <f>SUM(Table1[[#This Row],[Math_Marks]:[Social_Marks]])</f>
        <v>340</v>
      </c>
      <c r="O70">
        <f>AVERAGE(Table1[[#This Row],[Math_Marks]:[Social_Marks]])</f>
        <v>68</v>
      </c>
      <c r="P70" t="str">
        <f>IF(Table1[[#This Row],[Total_Marks]]&gt;=400,"Top Performer","Need Improvement")</f>
        <v>Need Improvement</v>
      </c>
      <c r="Q70" t="str">
        <f>IF(Table1[[#This Row],[Total_Marks]]&gt;=400,"Excellent",IF(Table1[[#This Row],[Total_Marks]]&gt;=300,"Good",IF(Table1[[#This Row],[Total_Marks]]&gt;=200,"Average","Below Average")))</f>
        <v>Good</v>
      </c>
    </row>
    <row r="71" spans="1:17" x14ac:dyDescent="0.3">
      <c r="A71" t="s">
        <v>82</v>
      </c>
      <c r="B71" t="s">
        <v>645</v>
      </c>
      <c r="C71" t="s">
        <v>828</v>
      </c>
      <c r="D71">
        <v>21</v>
      </c>
      <c r="E71" t="s">
        <v>829</v>
      </c>
      <c r="F71" t="s">
        <v>835</v>
      </c>
      <c r="G71">
        <v>89</v>
      </c>
      <c r="H71">
        <v>4.8</v>
      </c>
      <c r="I71">
        <v>83</v>
      </c>
      <c r="J71">
        <v>78</v>
      </c>
      <c r="K71">
        <v>79</v>
      </c>
      <c r="L71">
        <v>78</v>
      </c>
      <c r="M71">
        <v>76</v>
      </c>
      <c r="N71">
        <f>SUM(Table1[[#This Row],[Math_Marks]:[Social_Marks]])</f>
        <v>394</v>
      </c>
      <c r="O71">
        <f>AVERAGE(Table1[[#This Row],[Math_Marks]:[Social_Marks]])</f>
        <v>78.8</v>
      </c>
      <c r="P71" t="str">
        <f>IF(Table1[[#This Row],[Total_Marks]]&gt;=400,"Top Performer","Need Improvement")</f>
        <v>Need Improvement</v>
      </c>
      <c r="Q71" t="str">
        <f>IF(Table1[[#This Row],[Total_Marks]]&gt;=400,"Excellent",IF(Table1[[#This Row],[Total_Marks]]&gt;=300,"Good",IF(Table1[[#This Row],[Total_Marks]]&gt;=200,"Average","Below Average")))</f>
        <v>Good</v>
      </c>
    </row>
    <row r="72" spans="1:17" x14ac:dyDescent="0.3">
      <c r="A72" t="s">
        <v>83</v>
      </c>
      <c r="B72" t="s">
        <v>674</v>
      </c>
      <c r="C72" t="s">
        <v>828</v>
      </c>
      <c r="D72">
        <v>21</v>
      </c>
      <c r="E72" t="s">
        <v>833</v>
      </c>
      <c r="F72" t="s">
        <v>836</v>
      </c>
      <c r="G72">
        <v>70</v>
      </c>
      <c r="H72">
        <v>6.3</v>
      </c>
      <c r="I72">
        <v>95</v>
      </c>
      <c r="J72">
        <v>86</v>
      </c>
      <c r="K72">
        <v>95</v>
      </c>
      <c r="L72">
        <v>84</v>
      </c>
      <c r="M72">
        <v>85</v>
      </c>
      <c r="N72">
        <f>SUM(Table1[[#This Row],[Math_Marks]:[Social_Marks]])</f>
        <v>445</v>
      </c>
      <c r="O72">
        <f>AVERAGE(Table1[[#This Row],[Math_Marks]:[Social_Marks]])</f>
        <v>89</v>
      </c>
      <c r="P72" t="str">
        <f>IF(Table1[[#This Row],[Total_Marks]]&gt;=400,"Top Performer","Need Improvement")</f>
        <v>Top Performer</v>
      </c>
      <c r="Q72" t="str">
        <f>IF(Table1[[#This Row],[Total_Marks]]&gt;=400,"Excellent",IF(Table1[[#This Row],[Total_Marks]]&gt;=300,"Good",IF(Table1[[#This Row],[Total_Marks]]&gt;=200,"Average","Below Average")))</f>
        <v>Excellent</v>
      </c>
    </row>
    <row r="73" spans="1:17" x14ac:dyDescent="0.3">
      <c r="A73" t="s">
        <v>84</v>
      </c>
      <c r="B73" t="s">
        <v>675</v>
      </c>
      <c r="C73" t="s">
        <v>828</v>
      </c>
      <c r="D73">
        <v>21</v>
      </c>
      <c r="E73" t="s">
        <v>832</v>
      </c>
      <c r="F73" t="s">
        <v>841</v>
      </c>
      <c r="G73">
        <v>70</v>
      </c>
      <c r="H73">
        <v>3.7</v>
      </c>
      <c r="I73">
        <v>75</v>
      </c>
      <c r="J73">
        <v>68</v>
      </c>
      <c r="K73">
        <v>61</v>
      </c>
      <c r="L73">
        <v>63</v>
      </c>
      <c r="M73">
        <v>61</v>
      </c>
      <c r="N73">
        <f>SUM(Table1[[#This Row],[Math_Marks]:[Social_Marks]])</f>
        <v>328</v>
      </c>
      <c r="O73">
        <f>AVERAGE(Table1[[#This Row],[Math_Marks]:[Social_Marks]])</f>
        <v>65.599999999999994</v>
      </c>
      <c r="P73" t="str">
        <f>IF(Table1[[#This Row],[Total_Marks]]&gt;=400,"Top Performer","Need Improvement")</f>
        <v>Need Improvement</v>
      </c>
      <c r="Q73" t="str">
        <f>IF(Table1[[#This Row],[Total_Marks]]&gt;=400,"Excellent",IF(Table1[[#This Row],[Total_Marks]]&gt;=300,"Good",IF(Table1[[#This Row],[Total_Marks]]&gt;=200,"Average","Below Average")))</f>
        <v>Good</v>
      </c>
    </row>
    <row r="74" spans="1:17" x14ac:dyDescent="0.3">
      <c r="A74" t="s">
        <v>85</v>
      </c>
      <c r="B74" t="s">
        <v>676</v>
      </c>
      <c r="C74" t="s">
        <v>827</v>
      </c>
      <c r="D74">
        <v>18</v>
      </c>
      <c r="E74" t="s">
        <v>830</v>
      </c>
      <c r="F74" t="s">
        <v>842</v>
      </c>
      <c r="G74">
        <v>75</v>
      </c>
      <c r="H74">
        <v>1.9</v>
      </c>
      <c r="I74">
        <v>62</v>
      </c>
      <c r="J74">
        <v>44</v>
      </c>
      <c r="K74">
        <v>58</v>
      </c>
      <c r="L74">
        <v>67</v>
      </c>
      <c r="M74">
        <v>67</v>
      </c>
      <c r="N74">
        <f>SUM(Table1[[#This Row],[Math_Marks]:[Social_Marks]])</f>
        <v>298</v>
      </c>
      <c r="O74">
        <f>AVERAGE(Table1[[#This Row],[Math_Marks]:[Social_Marks]])</f>
        <v>59.6</v>
      </c>
      <c r="P74" t="str">
        <f>IF(Table1[[#This Row],[Total_Marks]]&gt;=400,"Top Performer","Need Improvement")</f>
        <v>Need Improvement</v>
      </c>
      <c r="Q74" t="str">
        <f>IF(Table1[[#This Row],[Total_Marks]]&gt;=400,"Excellent",IF(Table1[[#This Row],[Total_Marks]]&gt;=300,"Good",IF(Table1[[#This Row],[Total_Marks]]&gt;=200,"Average","Below Average")))</f>
        <v>Average</v>
      </c>
    </row>
    <row r="75" spans="1:17" x14ac:dyDescent="0.3">
      <c r="A75" t="s">
        <v>86</v>
      </c>
      <c r="B75" t="s">
        <v>677</v>
      </c>
      <c r="C75" t="s">
        <v>828</v>
      </c>
      <c r="D75">
        <v>21</v>
      </c>
      <c r="E75" t="s">
        <v>832</v>
      </c>
      <c r="F75" t="s">
        <v>841</v>
      </c>
      <c r="G75">
        <v>72</v>
      </c>
      <c r="H75">
        <v>4.3</v>
      </c>
      <c r="I75">
        <v>77</v>
      </c>
      <c r="J75">
        <v>75</v>
      </c>
      <c r="K75">
        <v>66</v>
      </c>
      <c r="L75">
        <v>57</v>
      </c>
      <c r="M75">
        <v>64</v>
      </c>
      <c r="N75">
        <f>SUM(Table1[[#This Row],[Math_Marks]:[Social_Marks]])</f>
        <v>339</v>
      </c>
      <c r="O75">
        <f>AVERAGE(Table1[[#This Row],[Math_Marks]:[Social_Marks]])</f>
        <v>67.8</v>
      </c>
      <c r="P75" t="str">
        <f>IF(Table1[[#This Row],[Total_Marks]]&gt;=400,"Top Performer","Need Improvement")</f>
        <v>Need Improvement</v>
      </c>
      <c r="Q75" t="str">
        <f>IF(Table1[[#This Row],[Total_Marks]]&gt;=400,"Excellent",IF(Table1[[#This Row],[Total_Marks]]&gt;=300,"Good",IF(Table1[[#This Row],[Total_Marks]]&gt;=200,"Average","Below Average")))</f>
        <v>Good</v>
      </c>
    </row>
    <row r="76" spans="1:17" x14ac:dyDescent="0.3">
      <c r="A76" t="s">
        <v>87</v>
      </c>
      <c r="B76" t="s">
        <v>678</v>
      </c>
      <c r="C76" t="s">
        <v>828</v>
      </c>
      <c r="D76">
        <v>18</v>
      </c>
      <c r="E76" t="s">
        <v>833</v>
      </c>
      <c r="F76" t="s">
        <v>835</v>
      </c>
      <c r="G76">
        <v>84</v>
      </c>
      <c r="H76">
        <v>3</v>
      </c>
      <c r="I76">
        <v>60</v>
      </c>
      <c r="J76">
        <v>54</v>
      </c>
      <c r="K76">
        <v>59</v>
      </c>
      <c r="L76">
        <v>59</v>
      </c>
      <c r="M76">
        <v>48</v>
      </c>
      <c r="N76">
        <f>SUM(Table1[[#This Row],[Math_Marks]:[Social_Marks]])</f>
        <v>280</v>
      </c>
      <c r="O76">
        <f>AVERAGE(Table1[[#This Row],[Math_Marks]:[Social_Marks]])</f>
        <v>56</v>
      </c>
      <c r="P76" t="str">
        <f>IF(Table1[[#This Row],[Total_Marks]]&gt;=400,"Top Performer","Need Improvement")</f>
        <v>Need Improvement</v>
      </c>
      <c r="Q76" t="str">
        <f>IF(Table1[[#This Row],[Total_Marks]]&gt;=400,"Excellent",IF(Table1[[#This Row],[Total_Marks]]&gt;=300,"Good",IF(Table1[[#This Row],[Total_Marks]]&gt;=200,"Average","Below Average")))</f>
        <v>Average</v>
      </c>
    </row>
    <row r="77" spans="1:17" x14ac:dyDescent="0.3">
      <c r="A77" t="s">
        <v>88</v>
      </c>
      <c r="B77" t="s">
        <v>679</v>
      </c>
      <c r="C77" t="s">
        <v>827</v>
      </c>
      <c r="D77">
        <v>22</v>
      </c>
      <c r="E77" t="s">
        <v>832</v>
      </c>
      <c r="F77" t="s">
        <v>835</v>
      </c>
      <c r="G77">
        <v>84</v>
      </c>
      <c r="H77">
        <v>2.1</v>
      </c>
      <c r="I77">
        <v>30</v>
      </c>
      <c r="J77">
        <v>43</v>
      </c>
      <c r="K77">
        <v>43</v>
      </c>
      <c r="L77">
        <v>42</v>
      </c>
      <c r="M77">
        <v>53</v>
      </c>
      <c r="N77">
        <f>SUM(Table1[[#This Row],[Math_Marks]:[Social_Marks]])</f>
        <v>211</v>
      </c>
      <c r="O77">
        <f>AVERAGE(Table1[[#This Row],[Math_Marks]:[Social_Marks]])</f>
        <v>42.2</v>
      </c>
      <c r="P77" t="str">
        <f>IF(Table1[[#This Row],[Total_Marks]]&gt;=400,"Top Performer","Need Improvement")</f>
        <v>Need Improvement</v>
      </c>
      <c r="Q77" t="str">
        <f>IF(Table1[[#This Row],[Total_Marks]]&gt;=400,"Excellent",IF(Table1[[#This Row],[Total_Marks]]&gt;=300,"Good",IF(Table1[[#This Row],[Total_Marks]]&gt;=200,"Average","Below Average")))</f>
        <v>Average</v>
      </c>
    </row>
    <row r="78" spans="1:17" x14ac:dyDescent="0.3">
      <c r="A78" t="s">
        <v>89</v>
      </c>
      <c r="B78" t="s">
        <v>652</v>
      </c>
      <c r="C78" t="s">
        <v>828</v>
      </c>
      <c r="D78">
        <v>22</v>
      </c>
      <c r="E78" t="s">
        <v>834</v>
      </c>
      <c r="F78" t="s">
        <v>841</v>
      </c>
      <c r="G78">
        <v>71</v>
      </c>
      <c r="H78">
        <v>3.2</v>
      </c>
      <c r="I78">
        <v>47</v>
      </c>
      <c r="J78">
        <v>52</v>
      </c>
      <c r="K78">
        <v>66</v>
      </c>
      <c r="L78">
        <v>69</v>
      </c>
      <c r="M78">
        <v>51</v>
      </c>
      <c r="N78">
        <f>SUM(Table1[[#This Row],[Math_Marks]:[Social_Marks]])</f>
        <v>285</v>
      </c>
      <c r="O78">
        <f>AVERAGE(Table1[[#This Row],[Math_Marks]:[Social_Marks]])</f>
        <v>57</v>
      </c>
      <c r="P78" t="str">
        <f>IF(Table1[[#This Row],[Total_Marks]]&gt;=400,"Top Performer","Need Improvement")</f>
        <v>Need Improvement</v>
      </c>
      <c r="Q78" t="str">
        <f>IF(Table1[[#This Row],[Total_Marks]]&gt;=400,"Excellent",IF(Table1[[#This Row],[Total_Marks]]&gt;=300,"Good",IF(Table1[[#This Row],[Total_Marks]]&gt;=200,"Average","Below Average")))</f>
        <v>Average</v>
      </c>
    </row>
    <row r="79" spans="1:17" x14ac:dyDescent="0.3">
      <c r="A79" t="s">
        <v>90</v>
      </c>
      <c r="B79" t="s">
        <v>680</v>
      </c>
      <c r="C79" t="s">
        <v>827</v>
      </c>
      <c r="D79">
        <v>22</v>
      </c>
      <c r="E79" t="s">
        <v>829</v>
      </c>
      <c r="F79" t="s">
        <v>837</v>
      </c>
      <c r="G79">
        <v>81</v>
      </c>
      <c r="H79">
        <v>4</v>
      </c>
      <c r="I79">
        <v>93</v>
      </c>
      <c r="J79">
        <v>74</v>
      </c>
      <c r="K79">
        <v>62</v>
      </c>
      <c r="L79">
        <v>75</v>
      </c>
      <c r="M79">
        <v>64</v>
      </c>
      <c r="N79">
        <f>SUM(Table1[[#This Row],[Math_Marks]:[Social_Marks]])</f>
        <v>368</v>
      </c>
      <c r="O79">
        <f>AVERAGE(Table1[[#This Row],[Math_Marks]:[Social_Marks]])</f>
        <v>73.599999999999994</v>
      </c>
      <c r="P79" t="str">
        <f>IF(Table1[[#This Row],[Total_Marks]]&gt;=400,"Top Performer","Need Improvement")</f>
        <v>Need Improvement</v>
      </c>
      <c r="Q79" t="str">
        <f>IF(Table1[[#This Row],[Total_Marks]]&gt;=400,"Excellent",IF(Table1[[#This Row],[Total_Marks]]&gt;=300,"Good",IF(Table1[[#This Row],[Total_Marks]]&gt;=200,"Average","Below Average")))</f>
        <v>Good</v>
      </c>
    </row>
    <row r="80" spans="1:17" x14ac:dyDescent="0.3">
      <c r="A80" t="s">
        <v>91</v>
      </c>
      <c r="B80" t="s">
        <v>681</v>
      </c>
      <c r="C80" t="s">
        <v>828</v>
      </c>
      <c r="D80">
        <v>19</v>
      </c>
      <c r="E80" t="s">
        <v>832</v>
      </c>
      <c r="F80" t="s">
        <v>839</v>
      </c>
      <c r="G80">
        <v>84</v>
      </c>
      <c r="H80">
        <v>3.8</v>
      </c>
      <c r="I80">
        <v>70</v>
      </c>
      <c r="J80">
        <v>52</v>
      </c>
      <c r="K80">
        <v>72</v>
      </c>
      <c r="L80">
        <v>59</v>
      </c>
      <c r="M80">
        <v>55</v>
      </c>
      <c r="N80">
        <f>SUM(Table1[[#This Row],[Math_Marks]:[Social_Marks]])</f>
        <v>308</v>
      </c>
      <c r="O80">
        <f>AVERAGE(Table1[[#This Row],[Math_Marks]:[Social_Marks]])</f>
        <v>61.6</v>
      </c>
      <c r="P80" t="str">
        <f>IF(Table1[[#This Row],[Total_Marks]]&gt;=400,"Top Performer","Need Improvement")</f>
        <v>Need Improvement</v>
      </c>
      <c r="Q80" t="str">
        <f>IF(Table1[[#This Row],[Total_Marks]]&gt;=400,"Excellent",IF(Table1[[#This Row],[Total_Marks]]&gt;=300,"Good",IF(Table1[[#This Row],[Total_Marks]]&gt;=200,"Average","Below Average")))</f>
        <v>Good</v>
      </c>
    </row>
    <row r="81" spans="1:17" x14ac:dyDescent="0.3">
      <c r="A81" t="s">
        <v>92</v>
      </c>
      <c r="B81" t="s">
        <v>613</v>
      </c>
      <c r="C81" t="s">
        <v>827</v>
      </c>
      <c r="D81">
        <v>19</v>
      </c>
      <c r="E81" t="s">
        <v>831</v>
      </c>
      <c r="F81" t="s">
        <v>842</v>
      </c>
      <c r="G81">
        <v>89</v>
      </c>
      <c r="H81">
        <v>1.8</v>
      </c>
      <c r="I81">
        <v>50</v>
      </c>
      <c r="J81">
        <v>55</v>
      </c>
      <c r="K81">
        <v>57</v>
      </c>
      <c r="L81">
        <v>47</v>
      </c>
      <c r="M81">
        <v>61</v>
      </c>
      <c r="N81">
        <f>SUM(Table1[[#This Row],[Math_Marks]:[Social_Marks]])</f>
        <v>270</v>
      </c>
      <c r="O81">
        <f>AVERAGE(Table1[[#This Row],[Math_Marks]:[Social_Marks]])</f>
        <v>54</v>
      </c>
      <c r="P81" t="str">
        <f>IF(Table1[[#This Row],[Total_Marks]]&gt;=400,"Top Performer","Need Improvement")</f>
        <v>Need Improvement</v>
      </c>
      <c r="Q81" t="str">
        <f>IF(Table1[[#This Row],[Total_Marks]]&gt;=400,"Excellent",IF(Table1[[#This Row],[Total_Marks]]&gt;=300,"Good",IF(Table1[[#This Row],[Total_Marks]]&gt;=200,"Average","Below Average")))</f>
        <v>Average</v>
      </c>
    </row>
    <row r="82" spans="1:17" x14ac:dyDescent="0.3">
      <c r="A82" t="s">
        <v>93</v>
      </c>
      <c r="B82" t="s">
        <v>682</v>
      </c>
      <c r="C82" t="s">
        <v>827</v>
      </c>
      <c r="D82">
        <v>22</v>
      </c>
      <c r="E82" t="s">
        <v>829</v>
      </c>
      <c r="F82" t="s">
        <v>838</v>
      </c>
      <c r="G82">
        <v>81</v>
      </c>
      <c r="H82">
        <v>3.5</v>
      </c>
      <c r="I82">
        <v>62</v>
      </c>
      <c r="J82">
        <v>64</v>
      </c>
      <c r="K82">
        <v>70</v>
      </c>
      <c r="L82">
        <v>53</v>
      </c>
      <c r="M82">
        <v>53</v>
      </c>
      <c r="N82">
        <f>SUM(Table1[[#This Row],[Math_Marks]:[Social_Marks]])</f>
        <v>302</v>
      </c>
      <c r="O82">
        <f>AVERAGE(Table1[[#This Row],[Math_Marks]:[Social_Marks]])</f>
        <v>60.4</v>
      </c>
      <c r="P82" t="str">
        <f>IF(Table1[[#This Row],[Total_Marks]]&gt;=400,"Top Performer","Need Improvement")</f>
        <v>Need Improvement</v>
      </c>
      <c r="Q82" t="str">
        <f>IF(Table1[[#This Row],[Total_Marks]]&gt;=400,"Excellent",IF(Table1[[#This Row],[Total_Marks]]&gt;=300,"Good",IF(Table1[[#This Row],[Total_Marks]]&gt;=200,"Average","Below Average")))</f>
        <v>Good</v>
      </c>
    </row>
    <row r="83" spans="1:17" x14ac:dyDescent="0.3">
      <c r="A83" t="s">
        <v>94</v>
      </c>
      <c r="B83" t="s">
        <v>636</v>
      </c>
      <c r="C83" t="s">
        <v>828</v>
      </c>
      <c r="D83">
        <v>22</v>
      </c>
      <c r="E83" t="s">
        <v>833</v>
      </c>
      <c r="F83" t="s">
        <v>842</v>
      </c>
      <c r="G83">
        <v>78</v>
      </c>
      <c r="H83">
        <v>1</v>
      </c>
      <c r="I83">
        <v>34</v>
      </c>
      <c r="J83">
        <v>36</v>
      </c>
      <c r="K83">
        <v>37</v>
      </c>
      <c r="L83">
        <v>41</v>
      </c>
      <c r="M83">
        <v>38</v>
      </c>
      <c r="N83">
        <f>SUM(Table1[[#This Row],[Math_Marks]:[Social_Marks]])</f>
        <v>186</v>
      </c>
      <c r="O83">
        <f>AVERAGE(Table1[[#This Row],[Math_Marks]:[Social_Marks]])</f>
        <v>37.200000000000003</v>
      </c>
      <c r="P83" t="str">
        <f>IF(Table1[[#This Row],[Total_Marks]]&gt;=400,"Top Performer","Need Improvement")</f>
        <v>Need Improvement</v>
      </c>
      <c r="Q83" t="str">
        <f>IF(Table1[[#This Row],[Total_Marks]]&gt;=400,"Excellent",IF(Table1[[#This Row],[Total_Marks]]&gt;=300,"Good",IF(Table1[[#This Row],[Total_Marks]]&gt;=200,"Average","Below Average")))</f>
        <v>Below Average</v>
      </c>
    </row>
    <row r="84" spans="1:17" x14ac:dyDescent="0.3">
      <c r="A84" t="s">
        <v>95</v>
      </c>
      <c r="B84" t="s">
        <v>683</v>
      </c>
      <c r="C84" t="s">
        <v>827</v>
      </c>
      <c r="D84">
        <v>20</v>
      </c>
      <c r="E84" t="s">
        <v>830</v>
      </c>
      <c r="F84" t="s">
        <v>837</v>
      </c>
      <c r="G84">
        <v>86</v>
      </c>
      <c r="H84">
        <v>1.5</v>
      </c>
      <c r="I84">
        <v>59</v>
      </c>
      <c r="J84">
        <v>57</v>
      </c>
      <c r="K84">
        <v>71</v>
      </c>
      <c r="L84">
        <v>54</v>
      </c>
      <c r="M84">
        <v>75</v>
      </c>
      <c r="N84">
        <f>SUM(Table1[[#This Row],[Math_Marks]:[Social_Marks]])</f>
        <v>316</v>
      </c>
      <c r="O84">
        <f>AVERAGE(Table1[[#This Row],[Math_Marks]:[Social_Marks]])</f>
        <v>63.2</v>
      </c>
      <c r="P84" t="str">
        <f>IF(Table1[[#This Row],[Total_Marks]]&gt;=400,"Top Performer","Need Improvement")</f>
        <v>Need Improvement</v>
      </c>
      <c r="Q84" t="str">
        <f>IF(Table1[[#This Row],[Total_Marks]]&gt;=400,"Excellent",IF(Table1[[#This Row],[Total_Marks]]&gt;=300,"Good",IF(Table1[[#This Row],[Total_Marks]]&gt;=200,"Average","Below Average")))</f>
        <v>Good</v>
      </c>
    </row>
    <row r="85" spans="1:17" x14ac:dyDescent="0.3">
      <c r="A85" t="s">
        <v>96</v>
      </c>
      <c r="B85" t="s">
        <v>684</v>
      </c>
      <c r="C85" t="s">
        <v>827</v>
      </c>
      <c r="D85">
        <v>19</v>
      </c>
      <c r="E85" t="s">
        <v>833</v>
      </c>
      <c r="F85" t="s">
        <v>842</v>
      </c>
      <c r="G85">
        <v>72</v>
      </c>
      <c r="H85">
        <v>2.7</v>
      </c>
      <c r="I85">
        <v>65</v>
      </c>
      <c r="J85">
        <v>55</v>
      </c>
      <c r="K85">
        <v>68</v>
      </c>
      <c r="L85">
        <v>70</v>
      </c>
      <c r="M85">
        <v>72</v>
      </c>
      <c r="N85">
        <f>SUM(Table1[[#This Row],[Math_Marks]:[Social_Marks]])</f>
        <v>330</v>
      </c>
      <c r="O85">
        <f>AVERAGE(Table1[[#This Row],[Math_Marks]:[Social_Marks]])</f>
        <v>66</v>
      </c>
      <c r="P85" t="str">
        <f>IF(Table1[[#This Row],[Total_Marks]]&gt;=400,"Top Performer","Need Improvement")</f>
        <v>Need Improvement</v>
      </c>
      <c r="Q85" t="str">
        <f>IF(Table1[[#This Row],[Total_Marks]]&gt;=400,"Excellent",IF(Table1[[#This Row],[Total_Marks]]&gt;=300,"Good",IF(Table1[[#This Row],[Total_Marks]]&gt;=200,"Average","Below Average")))</f>
        <v>Good</v>
      </c>
    </row>
    <row r="86" spans="1:17" x14ac:dyDescent="0.3">
      <c r="A86" t="s">
        <v>97</v>
      </c>
      <c r="B86" t="s">
        <v>685</v>
      </c>
      <c r="C86" t="s">
        <v>828</v>
      </c>
      <c r="D86">
        <v>19</v>
      </c>
      <c r="E86" t="s">
        <v>832</v>
      </c>
      <c r="F86" t="s">
        <v>836</v>
      </c>
      <c r="G86">
        <v>79</v>
      </c>
      <c r="H86">
        <v>2.5</v>
      </c>
      <c r="I86">
        <v>55</v>
      </c>
      <c r="J86">
        <v>58</v>
      </c>
      <c r="K86">
        <v>74</v>
      </c>
      <c r="L86">
        <v>58</v>
      </c>
      <c r="M86">
        <v>63</v>
      </c>
      <c r="N86">
        <f>SUM(Table1[[#This Row],[Math_Marks]:[Social_Marks]])</f>
        <v>308</v>
      </c>
      <c r="O86">
        <f>AVERAGE(Table1[[#This Row],[Math_Marks]:[Social_Marks]])</f>
        <v>61.6</v>
      </c>
      <c r="P86" t="str">
        <f>IF(Table1[[#This Row],[Total_Marks]]&gt;=400,"Top Performer","Need Improvement")</f>
        <v>Need Improvement</v>
      </c>
      <c r="Q86" t="str">
        <f>IF(Table1[[#This Row],[Total_Marks]]&gt;=400,"Excellent",IF(Table1[[#This Row],[Total_Marks]]&gt;=300,"Good",IF(Table1[[#This Row],[Total_Marks]]&gt;=200,"Average","Below Average")))</f>
        <v>Good</v>
      </c>
    </row>
    <row r="87" spans="1:17" x14ac:dyDescent="0.3">
      <c r="A87" t="s">
        <v>98</v>
      </c>
      <c r="B87" t="s">
        <v>686</v>
      </c>
      <c r="C87" t="s">
        <v>828</v>
      </c>
      <c r="D87">
        <v>19</v>
      </c>
      <c r="E87" t="s">
        <v>833</v>
      </c>
      <c r="F87" t="s">
        <v>836</v>
      </c>
      <c r="G87">
        <v>86</v>
      </c>
      <c r="H87">
        <v>5.5</v>
      </c>
      <c r="I87">
        <v>86</v>
      </c>
      <c r="J87">
        <v>88</v>
      </c>
      <c r="K87">
        <v>74</v>
      </c>
      <c r="L87">
        <v>83</v>
      </c>
      <c r="M87">
        <v>91</v>
      </c>
      <c r="N87">
        <f>SUM(Table1[[#This Row],[Math_Marks]:[Social_Marks]])</f>
        <v>422</v>
      </c>
      <c r="O87">
        <f>AVERAGE(Table1[[#This Row],[Math_Marks]:[Social_Marks]])</f>
        <v>84.4</v>
      </c>
      <c r="P87" t="str">
        <f>IF(Table1[[#This Row],[Total_Marks]]&gt;=400,"Top Performer","Need Improvement")</f>
        <v>Top Performer</v>
      </c>
      <c r="Q87" t="str">
        <f>IF(Table1[[#This Row],[Total_Marks]]&gt;=400,"Excellent",IF(Table1[[#This Row],[Total_Marks]]&gt;=300,"Good",IF(Table1[[#This Row],[Total_Marks]]&gt;=200,"Average","Below Average")))</f>
        <v>Excellent</v>
      </c>
    </row>
    <row r="88" spans="1:17" x14ac:dyDescent="0.3">
      <c r="A88" t="s">
        <v>99</v>
      </c>
      <c r="B88" t="s">
        <v>687</v>
      </c>
      <c r="C88" t="s">
        <v>827</v>
      </c>
      <c r="D88">
        <v>18</v>
      </c>
      <c r="E88" t="s">
        <v>831</v>
      </c>
      <c r="F88" t="s">
        <v>842</v>
      </c>
      <c r="G88">
        <v>86</v>
      </c>
      <c r="H88">
        <v>5.6</v>
      </c>
      <c r="I88">
        <v>71</v>
      </c>
      <c r="J88">
        <v>77</v>
      </c>
      <c r="K88">
        <v>51</v>
      </c>
      <c r="L88">
        <v>77</v>
      </c>
      <c r="M88">
        <v>45</v>
      </c>
      <c r="N88">
        <f>SUM(Table1[[#This Row],[Math_Marks]:[Social_Marks]])</f>
        <v>321</v>
      </c>
      <c r="O88">
        <f>AVERAGE(Table1[[#This Row],[Math_Marks]:[Social_Marks]])</f>
        <v>64.2</v>
      </c>
      <c r="P88" t="str">
        <f>IF(Table1[[#This Row],[Total_Marks]]&gt;=400,"Top Performer","Need Improvement")</f>
        <v>Need Improvement</v>
      </c>
      <c r="Q88" t="str">
        <f>IF(Table1[[#This Row],[Total_Marks]]&gt;=400,"Excellent",IF(Table1[[#This Row],[Total_Marks]]&gt;=300,"Good",IF(Table1[[#This Row],[Total_Marks]]&gt;=200,"Average","Below Average")))</f>
        <v>Good</v>
      </c>
    </row>
    <row r="89" spans="1:17" x14ac:dyDescent="0.3">
      <c r="A89" t="s">
        <v>100</v>
      </c>
      <c r="B89" t="s">
        <v>688</v>
      </c>
      <c r="C89" t="s">
        <v>827</v>
      </c>
      <c r="D89">
        <v>22</v>
      </c>
      <c r="E89" t="s">
        <v>833</v>
      </c>
      <c r="F89" t="s">
        <v>840</v>
      </c>
      <c r="G89">
        <v>71</v>
      </c>
      <c r="H89">
        <v>2.7</v>
      </c>
      <c r="I89">
        <v>63</v>
      </c>
      <c r="J89">
        <v>85</v>
      </c>
      <c r="K89">
        <v>67</v>
      </c>
      <c r="L89">
        <v>70</v>
      </c>
      <c r="M89">
        <v>80</v>
      </c>
      <c r="N89">
        <f>SUM(Table1[[#This Row],[Math_Marks]:[Social_Marks]])</f>
        <v>365</v>
      </c>
      <c r="O89">
        <f>AVERAGE(Table1[[#This Row],[Math_Marks]:[Social_Marks]])</f>
        <v>73</v>
      </c>
      <c r="P89" t="str">
        <f>IF(Table1[[#This Row],[Total_Marks]]&gt;=400,"Top Performer","Need Improvement")</f>
        <v>Need Improvement</v>
      </c>
      <c r="Q89" t="str">
        <f>IF(Table1[[#This Row],[Total_Marks]]&gt;=400,"Excellent",IF(Table1[[#This Row],[Total_Marks]]&gt;=300,"Good",IF(Table1[[#This Row],[Total_Marks]]&gt;=200,"Average","Below Average")))</f>
        <v>Good</v>
      </c>
    </row>
    <row r="90" spans="1:17" x14ac:dyDescent="0.3">
      <c r="A90" t="s">
        <v>101</v>
      </c>
      <c r="B90" t="s">
        <v>689</v>
      </c>
      <c r="C90" t="s">
        <v>827</v>
      </c>
      <c r="D90">
        <v>19</v>
      </c>
      <c r="E90" t="s">
        <v>829</v>
      </c>
      <c r="F90" t="s">
        <v>837</v>
      </c>
      <c r="G90">
        <v>81</v>
      </c>
      <c r="H90">
        <v>1.8</v>
      </c>
      <c r="I90">
        <v>48</v>
      </c>
      <c r="J90">
        <v>62</v>
      </c>
      <c r="K90">
        <v>55</v>
      </c>
      <c r="L90">
        <v>52</v>
      </c>
      <c r="M90">
        <v>53</v>
      </c>
      <c r="N90">
        <f>SUM(Table1[[#This Row],[Math_Marks]:[Social_Marks]])</f>
        <v>270</v>
      </c>
      <c r="O90">
        <f>AVERAGE(Table1[[#This Row],[Math_Marks]:[Social_Marks]])</f>
        <v>54</v>
      </c>
      <c r="P90" t="str">
        <f>IF(Table1[[#This Row],[Total_Marks]]&gt;=400,"Top Performer","Need Improvement")</f>
        <v>Need Improvement</v>
      </c>
      <c r="Q90" t="str">
        <f>IF(Table1[[#This Row],[Total_Marks]]&gt;=400,"Excellent",IF(Table1[[#This Row],[Total_Marks]]&gt;=300,"Good",IF(Table1[[#This Row],[Total_Marks]]&gt;=200,"Average","Below Average")))</f>
        <v>Average</v>
      </c>
    </row>
    <row r="91" spans="1:17" x14ac:dyDescent="0.3">
      <c r="A91" t="s">
        <v>102</v>
      </c>
      <c r="B91" t="s">
        <v>690</v>
      </c>
      <c r="C91" t="s">
        <v>827</v>
      </c>
      <c r="D91">
        <v>21</v>
      </c>
      <c r="E91" t="s">
        <v>831</v>
      </c>
      <c r="F91" t="s">
        <v>842</v>
      </c>
      <c r="G91">
        <v>72</v>
      </c>
      <c r="H91">
        <v>5.5</v>
      </c>
      <c r="I91">
        <v>55</v>
      </c>
      <c r="J91">
        <v>70</v>
      </c>
      <c r="K91">
        <v>70</v>
      </c>
      <c r="L91">
        <v>54</v>
      </c>
      <c r="M91">
        <v>68</v>
      </c>
      <c r="N91">
        <f>SUM(Table1[[#This Row],[Math_Marks]:[Social_Marks]])</f>
        <v>317</v>
      </c>
      <c r="O91">
        <f>AVERAGE(Table1[[#This Row],[Math_Marks]:[Social_Marks]])</f>
        <v>63.4</v>
      </c>
      <c r="P91" t="str">
        <f>IF(Table1[[#This Row],[Total_Marks]]&gt;=400,"Top Performer","Need Improvement")</f>
        <v>Need Improvement</v>
      </c>
      <c r="Q91" t="str">
        <f>IF(Table1[[#This Row],[Total_Marks]]&gt;=400,"Excellent",IF(Table1[[#This Row],[Total_Marks]]&gt;=300,"Good",IF(Table1[[#This Row],[Total_Marks]]&gt;=200,"Average","Below Average")))</f>
        <v>Good</v>
      </c>
    </row>
    <row r="92" spans="1:17" x14ac:dyDescent="0.3">
      <c r="A92" t="s">
        <v>103</v>
      </c>
      <c r="B92" t="s">
        <v>691</v>
      </c>
      <c r="C92" t="s">
        <v>827</v>
      </c>
      <c r="D92">
        <v>20</v>
      </c>
      <c r="E92" t="s">
        <v>831</v>
      </c>
      <c r="F92" t="s">
        <v>838</v>
      </c>
      <c r="G92">
        <v>69</v>
      </c>
      <c r="H92">
        <v>4.3</v>
      </c>
      <c r="I92">
        <v>57</v>
      </c>
      <c r="J92">
        <v>68</v>
      </c>
      <c r="K92">
        <v>73</v>
      </c>
      <c r="L92">
        <v>76</v>
      </c>
      <c r="M92">
        <v>72</v>
      </c>
      <c r="N92">
        <f>SUM(Table1[[#This Row],[Math_Marks]:[Social_Marks]])</f>
        <v>346</v>
      </c>
      <c r="O92">
        <f>AVERAGE(Table1[[#This Row],[Math_Marks]:[Social_Marks]])</f>
        <v>69.2</v>
      </c>
      <c r="P92" t="str">
        <f>IF(Table1[[#This Row],[Total_Marks]]&gt;=400,"Top Performer","Need Improvement")</f>
        <v>Need Improvement</v>
      </c>
      <c r="Q92" t="str">
        <f>IF(Table1[[#This Row],[Total_Marks]]&gt;=400,"Excellent",IF(Table1[[#This Row],[Total_Marks]]&gt;=300,"Good",IF(Table1[[#This Row],[Total_Marks]]&gt;=200,"Average","Below Average")))</f>
        <v>Good</v>
      </c>
    </row>
    <row r="93" spans="1:17" x14ac:dyDescent="0.3">
      <c r="A93" t="s">
        <v>104</v>
      </c>
      <c r="B93" t="s">
        <v>642</v>
      </c>
      <c r="C93" t="s">
        <v>827</v>
      </c>
      <c r="D93">
        <v>18</v>
      </c>
      <c r="E93" t="s">
        <v>830</v>
      </c>
      <c r="F93" t="s">
        <v>837</v>
      </c>
      <c r="G93">
        <v>83</v>
      </c>
      <c r="H93">
        <v>4</v>
      </c>
      <c r="I93">
        <v>71</v>
      </c>
      <c r="J93">
        <v>65</v>
      </c>
      <c r="K93">
        <v>68</v>
      </c>
      <c r="L93">
        <v>76</v>
      </c>
      <c r="M93">
        <v>71</v>
      </c>
      <c r="N93">
        <f>SUM(Table1[[#This Row],[Math_Marks]:[Social_Marks]])</f>
        <v>351</v>
      </c>
      <c r="O93">
        <f>AVERAGE(Table1[[#This Row],[Math_Marks]:[Social_Marks]])</f>
        <v>70.2</v>
      </c>
      <c r="P93" t="str">
        <f>IF(Table1[[#This Row],[Total_Marks]]&gt;=400,"Top Performer","Need Improvement")</f>
        <v>Need Improvement</v>
      </c>
      <c r="Q93" t="str">
        <f>IF(Table1[[#This Row],[Total_Marks]]&gt;=400,"Excellent",IF(Table1[[#This Row],[Total_Marks]]&gt;=300,"Good",IF(Table1[[#This Row],[Total_Marks]]&gt;=200,"Average","Below Average")))</f>
        <v>Good</v>
      </c>
    </row>
    <row r="94" spans="1:17" x14ac:dyDescent="0.3">
      <c r="A94" t="s">
        <v>105</v>
      </c>
      <c r="B94" t="s">
        <v>692</v>
      </c>
      <c r="C94" t="s">
        <v>828</v>
      </c>
      <c r="D94">
        <v>18</v>
      </c>
      <c r="E94" t="s">
        <v>834</v>
      </c>
      <c r="F94" t="s">
        <v>837</v>
      </c>
      <c r="G94">
        <v>88</v>
      </c>
      <c r="H94">
        <v>4.4000000000000004</v>
      </c>
      <c r="I94">
        <v>71</v>
      </c>
      <c r="J94">
        <v>55</v>
      </c>
      <c r="K94">
        <v>46</v>
      </c>
      <c r="L94">
        <v>51</v>
      </c>
      <c r="M94">
        <v>51</v>
      </c>
      <c r="N94">
        <f>SUM(Table1[[#This Row],[Math_Marks]:[Social_Marks]])</f>
        <v>274</v>
      </c>
      <c r="O94">
        <f>AVERAGE(Table1[[#This Row],[Math_Marks]:[Social_Marks]])</f>
        <v>54.8</v>
      </c>
      <c r="P94" t="str">
        <f>IF(Table1[[#This Row],[Total_Marks]]&gt;=400,"Top Performer","Need Improvement")</f>
        <v>Need Improvement</v>
      </c>
      <c r="Q94" t="str">
        <f>IF(Table1[[#This Row],[Total_Marks]]&gt;=400,"Excellent",IF(Table1[[#This Row],[Total_Marks]]&gt;=300,"Good",IF(Table1[[#This Row],[Total_Marks]]&gt;=200,"Average","Below Average")))</f>
        <v>Average</v>
      </c>
    </row>
    <row r="95" spans="1:17" x14ac:dyDescent="0.3">
      <c r="A95" t="s">
        <v>106</v>
      </c>
      <c r="B95" t="s">
        <v>693</v>
      </c>
      <c r="C95" t="s">
        <v>827</v>
      </c>
      <c r="D95">
        <v>21</v>
      </c>
      <c r="E95" t="s">
        <v>832</v>
      </c>
      <c r="F95" t="s">
        <v>836</v>
      </c>
      <c r="G95">
        <v>87</v>
      </c>
      <c r="H95">
        <v>4.3</v>
      </c>
      <c r="I95">
        <v>73</v>
      </c>
      <c r="J95">
        <v>74</v>
      </c>
      <c r="K95">
        <v>53</v>
      </c>
      <c r="L95">
        <v>67</v>
      </c>
      <c r="M95">
        <v>52</v>
      </c>
      <c r="N95">
        <f>SUM(Table1[[#This Row],[Math_Marks]:[Social_Marks]])</f>
        <v>319</v>
      </c>
      <c r="O95">
        <f>AVERAGE(Table1[[#This Row],[Math_Marks]:[Social_Marks]])</f>
        <v>63.8</v>
      </c>
      <c r="P95" t="str">
        <f>IF(Table1[[#This Row],[Total_Marks]]&gt;=400,"Top Performer","Need Improvement")</f>
        <v>Need Improvement</v>
      </c>
      <c r="Q95" t="str">
        <f>IF(Table1[[#This Row],[Total_Marks]]&gt;=400,"Excellent",IF(Table1[[#This Row],[Total_Marks]]&gt;=300,"Good",IF(Table1[[#This Row],[Total_Marks]]&gt;=200,"Average","Below Average")))</f>
        <v>Good</v>
      </c>
    </row>
    <row r="96" spans="1:17" x14ac:dyDescent="0.3">
      <c r="A96" t="s">
        <v>107</v>
      </c>
      <c r="B96" t="s">
        <v>694</v>
      </c>
      <c r="C96" t="s">
        <v>828</v>
      </c>
      <c r="D96">
        <v>18</v>
      </c>
      <c r="E96" t="s">
        <v>830</v>
      </c>
      <c r="F96" t="s">
        <v>842</v>
      </c>
      <c r="G96">
        <v>92</v>
      </c>
      <c r="H96">
        <v>4.0999999999999996</v>
      </c>
      <c r="I96">
        <v>68</v>
      </c>
      <c r="J96">
        <v>60</v>
      </c>
      <c r="K96">
        <v>64</v>
      </c>
      <c r="L96">
        <v>72</v>
      </c>
      <c r="M96">
        <v>60</v>
      </c>
      <c r="N96">
        <f>SUM(Table1[[#This Row],[Math_Marks]:[Social_Marks]])</f>
        <v>324</v>
      </c>
      <c r="O96">
        <f>AVERAGE(Table1[[#This Row],[Math_Marks]:[Social_Marks]])</f>
        <v>64.8</v>
      </c>
      <c r="P96" t="str">
        <f>IF(Table1[[#This Row],[Total_Marks]]&gt;=400,"Top Performer","Need Improvement")</f>
        <v>Need Improvement</v>
      </c>
      <c r="Q96" t="str">
        <f>IF(Table1[[#This Row],[Total_Marks]]&gt;=400,"Excellent",IF(Table1[[#This Row],[Total_Marks]]&gt;=300,"Good",IF(Table1[[#This Row],[Total_Marks]]&gt;=200,"Average","Below Average")))</f>
        <v>Good</v>
      </c>
    </row>
    <row r="97" spans="1:17" x14ac:dyDescent="0.3">
      <c r="A97" t="s">
        <v>108</v>
      </c>
      <c r="B97" t="s">
        <v>695</v>
      </c>
      <c r="C97" t="s">
        <v>827</v>
      </c>
      <c r="D97">
        <v>19</v>
      </c>
      <c r="E97" t="s">
        <v>831</v>
      </c>
      <c r="F97" t="s">
        <v>842</v>
      </c>
      <c r="G97">
        <v>90</v>
      </c>
      <c r="H97">
        <v>4.8</v>
      </c>
      <c r="I97">
        <v>65</v>
      </c>
      <c r="J97">
        <v>64</v>
      </c>
      <c r="K97">
        <v>66</v>
      </c>
      <c r="L97">
        <v>75</v>
      </c>
      <c r="M97">
        <v>63</v>
      </c>
      <c r="N97">
        <f>SUM(Table1[[#This Row],[Math_Marks]:[Social_Marks]])</f>
        <v>333</v>
      </c>
      <c r="O97">
        <f>AVERAGE(Table1[[#This Row],[Math_Marks]:[Social_Marks]])</f>
        <v>66.599999999999994</v>
      </c>
      <c r="P97" t="str">
        <f>IF(Table1[[#This Row],[Total_Marks]]&gt;=400,"Top Performer","Need Improvement")</f>
        <v>Need Improvement</v>
      </c>
      <c r="Q97" t="str">
        <f>IF(Table1[[#This Row],[Total_Marks]]&gt;=400,"Excellent",IF(Table1[[#This Row],[Total_Marks]]&gt;=300,"Good",IF(Table1[[#This Row],[Total_Marks]]&gt;=200,"Average","Below Average")))</f>
        <v>Good</v>
      </c>
    </row>
    <row r="98" spans="1:17" x14ac:dyDescent="0.3">
      <c r="A98" t="s">
        <v>109</v>
      </c>
      <c r="B98" t="s">
        <v>645</v>
      </c>
      <c r="C98" t="s">
        <v>828</v>
      </c>
      <c r="D98">
        <v>22</v>
      </c>
      <c r="E98" t="s">
        <v>834</v>
      </c>
      <c r="F98" t="s">
        <v>835</v>
      </c>
      <c r="G98">
        <v>82</v>
      </c>
      <c r="H98">
        <v>7.5</v>
      </c>
      <c r="I98">
        <v>81</v>
      </c>
      <c r="J98">
        <v>71</v>
      </c>
      <c r="K98">
        <v>73</v>
      </c>
      <c r="L98">
        <v>70</v>
      </c>
      <c r="M98">
        <v>73</v>
      </c>
      <c r="N98">
        <f>SUM(Table1[[#This Row],[Math_Marks]:[Social_Marks]])</f>
        <v>368</v>
      </c>
      <c r="O98">
        <f>AVERAGE(Table1[[#This Row],[Math_Marks]:[Social_Marks]])</f>
        <v>73.599999999999994</v>
      </c>
      <c r="P98" t="str">
        <f>IF(Table1[[#This Row],[Total_Marks]]&gt;=400,"Top Performer","Need Improvement")</f>
        <v>Need Improvement</v>
      </c>
      <c r="Q98" t="str">
        <f>IF(Table1[[#This Row],[Total_Marks]]&gt;=400,"Excellent",IF(Table1[[#This Row],[Total_Marks]]&gt;=300,"Good",IF(Table1[[#This Row],[Total_Marks]]&gt;=200,"Average","Below Average")))</f>
        <v>Good</v>
      </c>
    </row>
    <row r="99" spans="1:17" x14ac:dyDescent="0.3">
      <c r="A99" t="s">
        <v>110</v>
      </c>
      <c r="B99" t="s">
        <v>696</v>
      </c>
      <c r="C99" t="s">
        <v>827</v>
      </c>
      <c r="D99">
        <v>21</v>
      </c>
      <c r="E99" t="s">
        <v>832</v>
      </c>
      <c r="F99" t="s">
        <v>835</v>
      </c>
      <c r="G99">
        <v>92</v>
      </c>
      <c r="H99">
        <v>2.8</v>
      </c>
      <c r="I99">
        <v>53</v>
      </c>
      <c r="J99">
        <v>66</v>
      </c>
      <c r="K99">
        <v>74</v>
      </c>
      <c r="L99">
        <v>61</v>
      </c>
      <c r="M99">
        <v>60</v>
      </c>
      <c r="N99">
        <f>SUM(Table1[[#This Row],[Math_Marks]:[Social_Marks]])</f>
        <v>314</v>
      </c>
      <c r="O99">
        <f>AVERAGE(Table1[[#This Row],[Math_Marks]:[Social_Marks]])</f>
        <v>62.8</v>
      </c>
      <c r="P99" t="str">
        <f>IF(Table1[[#This Row],[Total_Marks]]&gt;=400,"Top Performer","Need Improvement")</f>
        <v>Need Improvement</v>
      </c>
      <c r="Q99" t="str">
        <f>IF(Table1[[#This Row],[Total_Marks]]&gt;=400,"Excellent",IF(Table1[[#This Row],[Total_Marks]]&gt;=300,"Good",IF(Table1[[#This Row],[Total_Marks]]&gt;=200,"Average","Below Average")))</f>
        <v>Good</v>
      </c>
    </row>
    <row r="100" spans="1:17" x14ac:dyDescent="0.3">
      <c r="A100" t="s">
        <v>111</v>
      </c>
      <c r="B100" t="s">
        <v>687</v>
      </c>
      <c r="C100" t="s">
        <v>828</v>
      </c>
      <c r="D100">
        <v>20</v>
      </c>
      <c r="E100" t="s">
        <v>829</v>
      </c>
      <c r="F100" t="s">
        <v>840</v>
      </c>
      <c r="G100">
        <v>73</v>
      </c>
      <c r="H100">
        <v>4.0999999999999996</v>
      </c>
      <c r="I100">
        <v>95</v>
      </c>
      <c r="J100">
        <v>68</v>
      </c>
      <c r="K100">
        <v>84</v>
      </c>
      <c r="L100">
        <v>75</v>
      </c>
      <c r="M100">
        <v>71</v>
      </c>
      <c r="N100">
        <f>SUM(Table1[[#This Row],[Math_Marks]:[Social_Marks]])</f>
        <v>393</v>
      </c>
      <c r="O100">
        <f>AVERAGE(Table1[[#This Row],[Math_Marks]:[Social_Marks]])</f>
        <v>78.599999999999994</v>
      </c>
      <c r="P100" t="str">
        <f>IF(Table1[[#This Row],[Total_Marks]]&gt;=400,"Top Performer","Need Improvement")</f>
        <v>Need Improvement</v>
      </c>
      <c r="Q100" t="str">
        <f>IF(Table1[[#This Row],[Total_Marks]]&gt;=400,"Excellent",IF(Table1[[#This Row],[Total_Marks]]&gt;=300,"Good",IF(Table1[[#This Row],[Total_Marks]]&gt;=200,"Average","Below Average")))</f>
        <v>Good</v>
      </c>
    </row>
    <row r="101" spans="1:17" x14ac:dyDescent="0.3">
      <c r="A101" t="s">
        <v>112</v>
      </c>
      <c r="B101" t="s">
        <v>697</v>
      </c>
      <c r="C101" t="s">
        <v>828</v>
      </c>
      <c r="D101">
        <v>20</v>
      </c>
      <c r="E101" t="s">
        <v>832</v>
      </c>
      <c r="F101" t="s">
        <v>840</v>
      </c>
      <c r="G101">
        <v>78</v>
      </c>
      <c r="H101">
        <v>1.7</v>
      </c>
      <c r="I101">
        <v>49</v>
      </c>
      <c r="J101">
        <v>42</v>
      </c>
      <c r="K101">
        <v>39</v>
      </c>
      <c r="L101">
        <v>44</v>
      </c>
      <c r="M101">
        <v>51</v>
      </c>
      <c r="N101">
        <f>SUM(Table1[[#This Row],[Math_Marks]:[Social_Marks]])</f>
        <v>225</v>
      </c>
      <c r="O101">
        <f>AVERAGE(Table1[[#This Row],[Math_Marks]:[Social_Marks]])</f>
        <v>45</v>
      </c>
      <c r="P101" t="str">
        <f>IF(Table1[[#This Row],[Total_Marks]]&gt;=400,"Top Performer","Need Improvement")</f>
        <v>Need Improvement</v>
      </c>
      <c r="Q101" t="str">
        <f>IF(Table1[[#This Row],[Total_Marks]]&gt;=400,"Excellent",IF(Table1[[#This Row],[Total_Marks]]&gt;=300,"Good",IF(Table1[[#This Row],[Total_Marks]]&gt;=200,"Average","Below Average")))</f>
        <v>Average</v>
      </c>
    </row>
    <row r="102" spans="1:17" x14ac:dyDescent="0.3">
      <c r="A102" t="s">
        <v>113</v>
      </c>
      <c r="B102" t="s">
        <v>698</v>
      </c>
      <c r="C102" t="s">
        <v>828</v>
      </c>
      <c r="D102">
        <v>18</v>
      </c>
      <c r="E102" t="s">
        <v>831</v>
      </c>
      <c r="F102" t="s">
        <v>840</v>
      </c>
      <c r="G102">
        <v>81</v>
      </c>
      <c r="H102">
        <v>6.2</v>
      </c>
      <c r="I102">
        <v>85</v>
      </c>
      <c r="J102">
        <v>87</v>
      </c>
      <c r="K102">
        <v>86</v>
      </c>
      <c r="L102">
        <v>82</v>
      </c>
      <c r="M102">
        <v>82</v>
      </c>
      <c r="N102">
        <f>SUM(Table1[[#This Row],[Math_Marks]:[Social_Marks]])</f>
        <v>422</v>
      </c>
      <c r="O102">
        <f>AVERAGE(Table1[[#This Row],[Math_Marks]:[Social_Marks]])</f>
        <v>84.4</v>
      </c>
      <c r="P102" t="str">
        <f>IF(Table1[[#This Row],[Total_Marks]]&gt;=400,"Top Performer","Need Improvement")</f>
        <v>Top Performer</v>
      </c>
      <c r="Q102" t="str">
        <f>IF(Table1[[#This Row],[Total_Marks]]&gt;=400,"Excellent",IF(Table1[[#This Row],[Total_Marks]]&gt;=300,"Good",IF(Table1[[#This Row],[Total_Marks]]&gt;=200,"Average","Below Average")))</f>
        <v>Excellent</v>
      </c>
    </row>
    <row r="103" spans="1:17" x14ac:dyDescent="0.3">
      <c r="A103" t="s">
        <v>114</v>
      </c>
      <c r="B103" t="s">
        <v>682</v>
      </c>
      <c r="C103" t="s">
        <v>827</v>
      </c>
      <c r="D103">
        <v>19</v>
      </c>
      <c r="E103" t="s">
        <v>829</v>
      </c>
      <c r="F103" t="s">
        <v>835</v>
      </c>
      <c r="G103">
        <v>69</v>
      </c>
      <c r="H103">
        <v>2.6</v>
      </c>
      <c r="I103">
        <v>72</v>
      </c>
      <c r="J103">
        <v>78</v>
      </c>
      <c r="K103">
        <v>64</v>
      </c>
      <c r="L103">
        <v>56</v>
      </c>
      <c r="M103">
        <v>64</v>
      </c>
      <c r="N103">
        <f>SUM(Table1[[#This Row],[Math_Marks]:[Social_Marks]])</f>
        <v>334</v>
      </c>
      <c r="O103">
        <f>AVERAGE(Table1[[#This Row],[Math_Marks]:[Social_Marks]])</f>
        <v>66.8</v>
      </c>
      <c r="P103" t="str">
        <f>IF(Table1[[#This Row],[Total_Marks]]&gt;=400,"Top Performer","Need Improvement")</f>
        <v>Need Improvement</v>
      </c>
      <c r="Q103" t="str">
        <f>IF(Table1[[#This Row],[Total_Marks]]&gt;=400,"Excellent",IF(Table1[[#This Row],[Total_Marks]]&gt;=300,"Good",IF(Table1[[#This Row],[Total_Marks]]&gt;=200,"Average","Below Average")))</f>
        <v>Good</v>
      </c>
    </row>
    <row r="104" spans="1:17" x14ac:dyDescent="0.3">
      <c r="A104" t="s">
        <v>115</v>
      </c>
      <c r="B104" t="s">
        <v>699</v>
      </c>
      <c r="C104" t="s">
        <v>827</v>
      </c>
      <c r="D104">
        <v>22</v>
      </c>
      <c r="E104" t="s">
        <v>831</v>
      </c>
      <c r="F104" t="s">
        <v>838</v>
      </c>
      <c r="G104">
        <v>78</v>
      </c>
      <c r="H104">
        <v>4.3</v>
      </c>
      <c r="I104">
        <v>62</v>
      </c>
      <c r="J104">
        <v>58</v>
      </c>
      <c r="K104">
        <v>52</v>
      </c>
      <c r="L104">
        <v>57</v>
      </c>
      <c r="M104">
        <v>57</v>
      </c>
      <c r="N104">
        <f>SUM(Table1[[#This Row],[Math_Marks]:[Social_Marks]])</f>
        <v>286</v>
      </c>
      <c r="O104">
        <f>AVERAGE(Table1[[#This Row],[Math_Marks]:[Social_Marks]])</f>
        <v>57.2</v>
      </c>
      <c r="P104" t="str">
        <f>IF(Table1[[#This Row],[Total_Marks]]&gt;=400,"Top Performer","Need Improvement")</f>
        <v>Need Improvement</v>
      </c>
      <c r="Q104" t="str">
        <f>IF(Table1[[#This Row],[Total_Marks]]&gt;=400,"Excellent",IF(Table1[[#This Row],[Total_Marks]]&gt;=300,"Good",IF(Table1[[#This Row],[Total_Marks]]&gt;=200,"Average","Below Average")))</f>
        <v>Average</v>
      </c>
    </row>
    <row r="105" spans="1:17" x14ac:dyDescent="0.3">
      <c r="A105" t="s">
        <v>116</v>
      </c>
      <c r="B105" t="s">
        <v>682</v>
      </c>
      <c r="C105" t="s">
        <v>827</v>
      </c>
      <c r="D105">
        <v>19</v>
      </c>
      <c r="E105" t="s">
        <v>834</v>
      </c>
      <c r="F105" t="s">
        <v>836</v>
      </c>
      <c r="G105">
        <v>79</v>
      </c>
      <c r="H105">
        <v>1</v>
      </c>
      <c r="I105">
        <v>44</v>
      </c>
      <c r="J105">
        <v>41</v>
      </c>
      <c r="K105">
        <v>57</v>
      </c>
      <c r="L105">
        <v>45</v>
      </c>
      <c r="M105">
        <v>56</v>
      </c>
      <c r="N105">
        <f>SUM(Table1[[#This Row],[Math_Marks]:[Social_Marks]])</f>
        <v>243</v>
      </c>
      <c r="O105">
        <f>AVERAGE(Table1[[#This Row],[Math_Marks]:[Social_Marks]])</f>
        <v>48.6</v>
      </c>
      <c r="P105" t="str">
        <f>IF(Table1[[#This Row],[Total_Marks]]&gt;=400,"Top Performer","Need Improvement")</f>
        <v>Need Improvement</v>
      </c>
      <c r="Q105" t="str">
        <f>IF(Table1[[#This Row],[Total_Marks]]&gt;=400,"Excellent",IF(Table1[[#This Row],[Total_Marks]]&gt;=300,"Good",IF(Table1[[#This Row],[Total_Marks]]&gt;=200,"Average","Below Average")))</f>
        <v>Average</v>
      </c>
    </row>
    <row r="106" spans="1:17" x14ac:dyDescent="0.3">
      <c r="A106" t="s">
        <v>117</v>
      </c>
      <c r="B106" t="s">
        <v>694</v>
      </c>
      <c r="C106" t="s">
        <v>828</v>
      </c>
      <c r="D106">
        <v>19</v>
      </c>
      <c r="E106" t="s">
        <v>834</v>
      </c>
      <c r="F106" t="s">
        <v>841</v>
      </c>
      <c r="G106">
        <v>82</v>
      </c>
      <c r="H106">
        <v>6.4</v>
      </c>
      <c r="I106">
        <v>42</v>
      </c>
      <c r="J106">
        <v>54</v>
      </c>
      <c r="K106">
        <v>59</v>
      </c>
      <c r="L106">
        <v>64</v>
      </c>
      <c r="M106">
        <v>62</v>
      </c>
      <c r="N106">
        <f>SUM(Table1[[#This Row],[Math_Marks]:[Social_Marks]])</f>
        <v>281</v>
      </c>
      <c r="O106">
        <f>AVERAGE(Table1[[#This Row],[Math_Marks]:[Social_Marks]])</f>
        <v>56.2</v>
      </c>
      <c r="P106" t="str">
        <f>IF(Table1[[#This Row],[Total_Marks]]&gt;=400,"Top Performer","Need Improvement")</f>
        <v>Need Improvement</v>
      </c>
      <c r="Q106" t="str">
        <f>IF(Table1[[#This Row],[Total_Marks]]&gt;=400,"Excellent",IF(Table1[[#This Row],[Total_Marks]]&gt;=300,"Good",IF(Table1[[#This Row],[Total_Marks]]&gt;=200,"Average","Below Average")))</f>
        <v>Average</v>
      </c>
    </row>
    <row r="107" spans="1:17" x14ac:dyDescent="0.3">
      <c r="A107" t="s">
        <v>118</v>
      </c>
      <c r="B107" t="s">
        <v>700</v>
      </c>
      <c r="C107" t="s">
        <v>827</v>
      </c>
      <c r="D107">
        <v>18</v>
      </c>
      <c r="E107" t="s">
        <v>832</v>
      </c>
      <c r="F107" t="s">
        <v>835</v>
      </c>
      <c r="G107">
        <v>83</v>
      </c>
      <c r="H107">
        <v>5.2</v>
      </c>
      <c r="I107">
        <v>67</v>
      </c>
      <c r="J107">
        <v>78</v>
      </c>
      <c r="K107">
        <v>73</v>
      </c>
      <c r="L107">
        <v>72</v>
      </c>
      <c r="M107">
        <v>84</v>
      </c>
      <c r="N107">
        <f>SUM(Table1[[#This Row],[Math_Marks]:[Social_Marks]])</f>
        <v>374</v>
      </c>
      <c r="O107">
        <f>AVERAGE(Table1[[#This Row],[Math_Marks]:[Social_Marks]])</f>
        <v>74.8</v>
      </c>
      <c r="P107" t="str">
        <f>IF(Table1[[#This Row],[Total_Marks]]&gt;=400,"Top Performer","Need Improvement")</f>
        <v>Need Improvement</v>
      </c>
      <c r="Q107" t="str">
        <f>IF(Table1[[#This Row],[Total_Marks]]&gt;=400,"Excellent",IF(Table1[[#This Row],[Total_Marks]]&gt;=300,"Good",IF(Table1[[#This Row],[Total_Marks]]&gt;=200,"Average","Below Average")))</f>
        <v>Good</v>
      </c>
    </row>
    <row r="108" spans="1:17" x14ac:dyDescent="0.3">
      <c r="A108" t="s">
        <v>119</v>
      </c>
      <c r="B108" t="s">
        <v>683</v>
      </c>
      <c r="C108" t="s">
        <v>828</v>
      </c>
      <c r="D108">
        <v>21</v>
      </c>
      <c r="E108" t="s">
        <v>832</v>
      </c>
      <c r="F108" t="s">
        <v>836</v>
      </c>
      <c r="G108">
        <v>78</v>
      </c>
      <c r="H108">
        <v>3.4</v>
      </c>
      <c r="I108">
        <v>43</v>
      </c>
      <c r="J108">
        <v>44</v>
      </c>
      <c r="K108">
        <v>71</v>
      </c>
      <c r="L108">
        <v>66</v>
      </c>
      <c r="M108">
        <v>48</v>
      </c>
      <c r="N108">
        <f>SUM(Table1[[#This Row],[Math_Marks]:[Social_Marks]])</f>
        <v>272</v>
      </c>
      <c r="O108">
        <f>AVERAGE(Table1[[#This Row],[Math_Marks]:[Social_Marks]])</f>
        <v>54.4</v>
      </c>
      <c r="P108" t="str">
        <f>IF(Table1[[#This Row],[Total_Marks]]&gt;=400,"Top Performer","Need Improvement")</f>
        <v>Need Improvement</v>
      </c>
      <c r="Q108" t="str">
        <f>IF(Table1[[#This Row],[Total_Marks]]&gt;=400,"Excellent",IF(Table1[[#This Row],[Total_Marks]]&gt;=300,"Good",IF(Table1[[#This Row],[Total_Marks]]&gt;=200,"Average","Below Average")))</f>
        <v>Average</v>
      </c>
    </row>
    <row r="109" spans="1:17" x14ac:dyDescent="0.3">
      <c r="A109" t="s">
        <v>120</v>
      </c>
      <c r="B109" t="s">
        <v>701</v>
      </c>
      <c r="C109" t="s">
        <v>828</v>
      </c>
      <c r="D109">
        <v>19</v>
      </c>
      <c r="E109" t="s">
        <v>830</v>
      </c>
      <c r="F109" t="s">
        <v>839</v>
      </c>
      <c r="G109">
        <v>80</v>
      </c>
      <c r="H109">
        <v>2.2999999999999998</v>
      </c>
      <c r="I109">
        <v>44</v>
      </c>
      <c r="J109">
        <v>51</v>
      </c>
      <c r="K109">
        <v>58</v>
      </c>
      <c r="L109">
        <v>60</v>
      </c>
      <c r="M109">
        <v>61</v>
      </c>
      <c r="N109">
        <f>SUM(Table1[[#This Row],[Math_Marks]:[Social_Marks]])</f>
        <v>274</v>
      </c>
      <c r="O109">
        <f>AVERAGE(Table1[[#This Row],[Math_Marks]:[Social_Marks]])</f>
        <v>54.8</v>
      </c>
      <c r="P109" t="str">
        <f>IF(Table1[[#This Row],[Total_Marks]]&gt;=400,"Top Performer","Need Improvement")</f>
        <v>Need Improvement</v>
      </c>
      <c r="Q109" t="str">
        <f>IF(Table1[[#This Row],[Total_Marks]]&gt;=400,"Excellent",IF(Table1[[#This Row],[Total_Marks]]&gt;=300,"Good",IF(Table1[[#This Row],[Total_Marks]]&gt;=200,"Average","Below Average")))</f>
        <v>Average</v>
      </c>
    </row>
    <row r="110" spans="1:17" x14ac:dyDescent="0.3">
      <c r="A110" t="s">
        <v>121</v>
      </c>
      <c r="B110" t="s">
        <v>702</v>
      </c>
      <c r="C110" t="s">
        <v>827</v>
      </c>
      <c r="D110">
        <v>21</v>
      </c>
      <c r="E110" t="s">
        <v>830</v>
      </c>
      <c r="F110" t="s">
        <v>837</v>
      </c>
      <c r="G110">
        <v>87</v>
      </c>
      <c r="H110">
        <v>3.8</v>
      </c>
      <c r="I110">
        <v>53</v>
      </c>
      <c r="J110">
        <v>59</v>
      </c>
      <c r="K110">
        <v>61</v>
      </c>
      <c r="L110">
        <v>55</v>
      </c>
      <c r="M110">
        <v>68</v>
      </c>
      <c r="N110">
        <f>SUM(Table1[[#This Row],[Math_Marks]:[Social_Marks]])</f>
        <v>296</v>
      </c>
      <c r="O110">
        <f>AVERAGE(Table1[[#This Row],[Math_Marks]:[Social_Marks]])</f>
        <v>59.2</v>
      </c>
      <c r="P110" t="str">
        <f>IF(Table1[[#This Row],[Total_Marks]]&gt;=400,"Top Performer","Need Improvement")</f>
        <v>Need Improvement</v>
      </c>
      <c r="Q110" t="str">
        <f>IF(Table1[[#This Row],[Total_Marks]]&gt;=400,"Excellent",IF(Table1[[#This Row],[Total_Marks]]&gt;=300,"Good",IF(Table1[[#This Row],[Total_Marks]]&gt;=200,"Average","Below Average")))</f>
        <v>Average</v>
      </c>
    </row>
    <row r="111" spans="1:17" x14ac:dyDescent="0.3">
      <c r="A111" t="s">
        <v>122</v>
      </c>
      <c r="B111" t="s">
        <v>657</v>
      </c>
      <c r="C111" t="s">
        <v>828</v>
      </c>
      <c r="D111">
        <v>20</v>
      </c>
      <c r="E111" t="s">
        <v>831</v>
      </c>
      <c r="F111" t="s">
        <v>838</v>
      </c>
      <c r="G111">
        <v>99</v>
      </c>
      <c r="H111">
        <v>6.7</v>
      </c>
      <c r="I111">
        <v>64</v>
      </c>
      <c r="J111">
        <v>83</v>
      </c>
      <c r="K111">
        <v>63</v>
      </c>
      <c r="L111">
        <v>60</v>
      </c>
      <c r="M111">
        <v>67</v>
      </c>
      <c r="N111">
        <f>SUM(Table1[[#This Row],[Math_Marks]:[Social_Marks]])</f>
        <v>337</v>
      </c>
      <c r="O111">
        <f>AVERAGE(Table1[[#This Row],[Math_Marks]:[Social_Marks]])</f>
        <v>67.400000000000006</v>
      </c>
      <c r="P111" t="str">
        <f>IF(Table1[[#This Row],[Total_Marks]]&gt;=400,"Top Performer","Need Improvement")</f>
        <v>Need Improvement</v>
      </c>
      <c r="Q111" t="str">
        <f>IF(Table1[[#This Row],[Total_Marks]]&gt;=400,"Excellent",IF(Table1[[#This Row],[Total_Marks]]&gt;=300,"Good",IF(Table1[[#This Row],[Total_Marks]]&gt;=200,"Average","Below Average")))</f>
        <v>Good</v>
      </c>
    </row>
    <row r="112" spans="1:17" x14ac:dyDescent="0.3">
      <c r="A112" t="s">
        <v>123</v>
      </c>
      <c r="B112" t="s">
        <v>700</v>
      </c>
      <c r="C112" t="s">
        <v>828</v>
      </c>
      <c r="D112">
        <v>21</v>
      </c>
      <c r="E112" t="s">
        <v>833</v>
      </c>
      <c r="F112" t="s">
        <v>835</v>
      </c>
      <c r="G112">
        <v>75</v>
      </c>
      <c r="H112">
        <v>2.7</v>
      </c>
      <c r="I112">
        <v>70</v>
      </c>
      <c r="J112">
        <v>55</v>
      </c>
      <c r="K112">
        <v>59</v>
      </c>
      <c r="L112">
        <v>48</v>
      </c>
      <c r="M112">
        <v>51</v>
      </c>
      <c r="N112">
        <f>SUM(Table1[[#This Row],[Math_Marks]:[Social_Marks]])</f>
        <v>283</v>
      </c>
      <c r="O112">
        <f>AVERAGE(Table1[[#This Row],[Math_Marks]:[Social_Marks]])</f>
        <v>56.6</v>
      </c>
      <c r="P112" t="str">
        <f>IF(Table1[[#This Row],[Total_Marks]]&gt;=400,"Top Performer","Need Improvement")</f>
        <v>Need Improvement</v>
      </c>
      <c r="Q112" t="str">
        <f>IF(Table1[[#This Row],[Total_Marks]]&gt;=400,"Excellent",IF(Table1[[#This Row],[Total_Marks]]&gt;=300,"Good",IF(Table1[[#This Row],[Total_Marks]]&gt;=200,"Average","Below Average")))</f>
        <v>Average</v>
      </c>
    </row>
    <row r="113" spans="1:20" x14ac:dyDescent="0.3">
      <c r="A113" t="s">
        <v>124</v>
      </c>
      <c r="B113" t="s">
        <v>614</v>
      </c>
      <c r="C113" t="s">
        <v>827</v>
      </c>
      <c r="D113">
        <v>21</v>
      </c>
      <c r="E113" t="s">
        <v>833</v>
      </c>
      <c r="F113" t="s">
        <v>838</v>
      </c>
      <c r="G113">
        <v>65</v>
      </c>
      <c r="H113">
        <v>1</v>
      </c>
      <c r="I113">
        <v>52</v>
      </c>
      <c r="J113">
        <v>41</v>
      </c>
      <c r="K113">
        <v>51</v>
      </c>
      <c r="L113">
        <v>44</v>
      </c>
      <c r="M113">
        <v>47</v>
      </c>
      <c r="N113">
        <f>SUM(Table1[[#This Row],[Math_Marks]:[Social_Marks]])</f>
        <v>235</v>
      </c>
      <c r="O113">
        <f>AVERAGE(Table1[[#This Row],[Math_Marks]:[Social_Marks]])</f>
        <v>47</v>
      </c>
      <c r="P113" t="str">
        <f>IF(Table1[[#This Row],[Total_Marks]]&gt;=400,"Top Performer","Need Improvement")</f>
        <v>Need Improvement</v>
      </c>
      <c r="Q113" t="str">
        <f>IF(Table1[[#This Row],[Total_Marks]]&gt;=400,"Excellent",IF(Table1[[#This Row],[Total_Marks]]&gt;=300,"Good",IF(Table1[[#This Row],[Total_Marks]]&gt;=200,"Average","Below Average")))</f>
        <v>Average</v>
      </c>
    </row>
    <row r="114" spans="1:20" x14ac:dyDescent="0.3">
      <c r="A114" t="s">
        <v>125</v>
      </c>
      <c r="B114" t="s">
        <v>672</v>
      </c>
      <c r="C114" t="s">
        <v>827</v>
      </c>
      <c r="D114">
        <v>18</v>
      </c>
      <c r="E114" t="s">
        <v>829</v>
      </c>
      <c r="F114" t="s">
        <v>842</v>
      </c>
      <c r="G114">
        <v>76</v>
      </c>
      <c r="H114">
        <v>4.5999999999999996</v>
      </c>
      <c r="I114">
        <v>66</v>
      </c>
      <c r="J114">
        <v>61</v>
      </c>
      <c r="K114">
        <v>61</v>
      </c>
      <c r="L114">
        <v>71</v>
      </c>
      <c r="M114">
        <v>73</v>
      </c>
      <c r="N114">
        <f>SUM(Table1[[#This Row],[Math_Marks]:[Social_Marks]])</f>
        <v>332</v>
      </c>
      <c r="O114">
        <f>AVERAGE(Table1[[#This Row],[Math_Marks]:[Social_Marks]])</f>
        <v>66.400000000000006</v>
      </c>
      <c r="P114" t="str">
        <f>IF(Table1[[#This Row],[Total_Marks]]&gt;=400,"Top Performer","Need Improvement")</f>
        <v>Need Improvement</v>
      </c>
      <c r="Q114" t="str">
        <f>IF(Table1[[#This Row],[Total_Marks]]&gt;=400,"Excellent",IF(Table1[[#This Row],[Total_Marks]]&gt;=300,"Good",IF(Table1[[#This Row],[Total_Marks]]&gt;=200,"Average","Below Average")))</f>
        <v>Good</v>
      </c>
    </row>
    <row r="115" spans="1:20" x14ac:dyDescent="0.3">
      <c r="A115" t="s">
        <v>126</v>
      </c>
      <c r="B115" t="s">
        <v>664</v>
      </c>
      <c r="C115" t="s">
        <v>828</v>
      </c>
      <c r="D115">
        <v>21</v>
      </c>
      <c r="E115" t="s">
        <v>833</v>
      </c>
      <c r="F115" t="s">
        <v>842</v>
      </c>
      <c r="G115">
        <v>87</v>
      </c>
      <c r="H115">
        <v>6.1</v>
      </c>
      <c r="I115">
        <v>75</v>
      </c>
      <c r="J115">
        <v>97</v>
      </c>
      <c r="K115">
        <v>79</v>
      </c>
      <c r="L115">
        <v>92</v>
      </c>
      <c r="M115">
        <v>84</v>
      </c>
      <c r="N115">
        <f>SUM(Table1[[#This Row],[Math_Marks]:[Social_Marks]])</f>
        <v>427</v>
      </c>
      <c r="O115">
        <f>AVERAGE(Table1[[#This Row],[Math_Marks]:[Social_Marks]])</f>
        <v>85.4</v>
      </c>
      <c r="P115" t="str">
        <f>IF(Table1[[#This Row],[Total_Marks]]&gt;=400,"Top Performer","Need Improvement")</f>
        <v>Top Performer</v>
      </c>
      <c r="Q115" t="str">
        <f>IF(Table1[[#This Row],[Total_Marks]]&gt;=400,"Excellent",IF(Table1[[#This Row],[Total_Marks]]&gt;=300,"Good",IF(Table1[[#This Row],[Total_Marks]]&gt;=200,"Average","Below Average")))</f>
        <v>Excellent</v>
      </c>
    </row>
    <row r="116" spans="1:20" x14ac:dyDescent="0.3">
      <c r="A116" t="s">
        <v>127</v>
      </c>
      <c r="B116" t="s">
        <v>614</v>
      </c>
      <c r="C116" t="s">
        <v>827</v>
      </c>
      <c r="D116">
        <v>21</v>
      </c>
      <c r="E116" t="s">
        <v>831</v>
      </c>
      <c r="F116" t="s">
        <v>839</v>
      </c>
      <c r="G116">
        <v>67</v>
      </c>
      <c r="H116">
        <v>5.3</v>
      </c>
      <c r="I116">
        <v>71</v>
      </c>
      <c r="J116">
        <v>80</v>
      </c>
      <c r="K116">
        <v>72</v>
      </c>
      <c r="L116">
        <v>73</v>
      </c>
      <c r="M116">
        <v>84</v>
      </c>
      <c r="N116">
        <f>SUM(Table1[[#This Row],[Math_Marks]:[Social_Marks]])</f>
        <v>380</v>
      </c>
      <c r="O116">
        <f>AVERAGE(Table1[[#This Row],[Math_Marks]:[Social_Marks]])</f>
        <v>76</v>
      </c>
      <c r="P116" t="str">
        <f>IF(Table1[[#This Row],[Total_Marks]]&gt;=400,"Top Performer","Need Improvement")</f>
        <v>Need Improvement</v>
      </c>
      <c r="Q116" t="str">
        <f>IF(Table1[[#This Row],[Total_Marks]]&gt;=400,"Excellent",IF(Table1[[#This Row],[Total_Marks]]&gt;=300,"Good",IF(Table1[[#This Row],[Total_Marks]]&gt;=200,"Average","Below Average")))</f>
        <v>Good</v>
      </c>
    </row>
    <row r="117" spans="1:20" x14ac:dyDescent="0.3">
      <c r="A117" t="s">
        <v>128</v>
      </c>
      <c r="B117" t="s">
        <v>703</v>
      </c>
      <c r="C117" t="s">
        <v>827</v>
      </c>
      <c r="D117">
        <v>19</v>
      </c>
      <c r="E117" t="s">
        <v>833</v>
      </c>
      <c r="F117" t="s">
        <v>836</v>
      </c>
      <c r="G117">
        <v>90</v>
      </c>
      <c r="H117">
        <v>3.9</v>
      </c>
      <c r="I117">
        <v>68</v>
      </c>
      <c r="J117">
        <v>72</v>
      </c>
      <c r="K117">
        <v>71</v>
      </c>
      <c r="L117">
        <v>65</v>
      </c>
      <c r="M117">
        <v>77</v>
      </c>
      <c r="N117">
        <f>SUM(Table1[[#This Row],[Math_Marks]:[Social_Marks]])</f>
        <v>353</v>
      </c>
      <c r="O117">
        <f>AVERAGE(Table1[[#This Row],[Math_Marks]:[Social_Marks]])</f>
        <v>70.599999999999994</v>
      </c>
      <c r="P117" t="str">
        <f>IF(Table1[[#This Row],[Total_Marks]]&gt;=400,"Top Performer","Need Improvement")</f>
        <v>Need Improvement</v>
      </c>
      <c r="Q117" t="str">
        <f>IF(Table1[[#This Row],[Total_Marks]]&gt;=400,"Excellent",IF(Table1[[#This Row],[Total_Marks]]&gt;=300,"Good",IF(Table1[[#This Row],[Total_Marks]]&gt;=200,"Average","Below Average")))</f>
        <v>Good</v>
      </c>
    </row>
    <row r="118" spans="1:20" x14ac:dyDescent="0.3">
      <c r="A118" t="s">
        <v>129</v>
      </c>
      <c r="B118" t="s">
        <v>704</v>
      </c>
      <c r="C118" t="s">
        <v>827</v>
      </c>
      <c r="D118">
        <v>22</v>
      </c>
      <c r="E118" t="s">
        <v>834</v>
      </c>
      <c r="F118" t="s">
        <v>838</v>
      </c>
      <c r="G118">
        <v>95</v>
      </c>
      <c r="H118">
        <v>3.2</v>
      </c>
      <c r="I118">
        <v>62</v>
      </c>
      <c r="J118">
        <v>67</v>
      </c>
      <c r="K118">
        <v>63</v>
      </c>
      <c r="L118">
        <v>80</v>
      </c>
      <c r="M118">
        <v>70</v>
      </c>
      <c r="N118">
        <f>SUM(Table1[[#This Row],[Math_Marks]:[Social_Marks]])</f>
        <v>342</v>
      </c>
      <c r="O118">
        <f>AVERAGE(Table1[[#This Row],[Math_Marks]:[Social_Marks]])</f>
        <v>68.400000000000006</v>
      </c>
      <c r="P118" t="str">
        <f>IF(Table1[[#This Row],[Total_Marks]]&gt;=400,"Top Performer","Need Improvement")</f>
        <v>Need Improvement</v>
      </c>
      <c r="Q118" t="str">
        <f>IF(Table1[[#This Row],[Total_Marks]]&gt;=400,"Excellent",IF(Table1[[#This Row],[Total_Marks]]&gt;=300,"Good",IF(Table1[[#This Row],[Total_Marks]]&gt;=200,"Average","Below Average")))</f>
        <v>Good</v>
      </c>
    </row>
    <row r="119" spans="1:20" x14ac:dyDescent="0.3">
      <c r="A119" t="s">
        <v>130</v>
      </c>
      <c r="B119" t="s">
        <v>619</v>
      </c>
      <c r="C119" t="s">
        <v>827</v>
      </c>
      <c r="D119">
        <v>18</v>
      </c>
      <c r="E119" t="s">
        <v>834</v>
      </c>
      <c r="F119" t="s">
        <v>835</v>
      </c>
      <c r="G119">
        <v>63</v>
      </c>
      <c r="H119">
        <v>5</v>
      </c>
      <c r="I119">
        <v>67</v>
      </c>
      <c r="J119">
        <v>55</v>
      </c>
      <c r="K119">
        <v>65</v>
      </c>
      <c r="L119">
        <v>81</v>
      </c>
      <c r="M119">
        <v>72</v>
      </c>
      <c r="N119">
        <f>SUM(Table1[[#This Row],[Math_Marks]:[Social_Marks]])</f>
        <v>340</v>
      </c>
      <c r="O119">
        <f>AVERAGE(Table1[[#This Row],[Math_Marks]:[Social_Marks]])</f>
        <v>68</v>
      </c>
      <c r="P119" t="str">
        <f>IF(Table1[[#This Row],[Total_Marks]]&gt;=400,"Top Performer","Need Improvement")</f>
        <v>Need Improvement</v>
      </c>
      <c r="Q119" t="str">
        <f>IF(Table1[[#This Row],[Total_Marks]]&gt;=400,"Excellent",IF(Table1[[#This Row],[Total_Marks]]&gt;=300,"Good",IF(Table1[[#This Row],[Total_Marks]]&gt;=200,"Average","Below Average")))</f>
        <v>Good</v>
      </c>
      <c r="R119" s="3"/>
      <c r="S119" s="4"/>
      <c r="T119" s="5"/>
    </row>
    <row r="120" spans="1:20" x14ac:dyDescent="0.3">
      <c r="A120" t="s">
        <v>131</v>
      </c>
      <c r="B120" t="s">
        <v>705</v>
      </c>
      <c r="C120" t="s">
        <v>827</v>
      </c>
      <c r="D120">
        <v>20</v>
      </c>
      <c r="E120" t="s">
        <v>833</v>
      </c>
      <c r="F120" t="s">
        <v>835</v>
      </c>
      <c r="G120">
        <v>62</v>
      </c>
      <c r="H120">
        <v>4.2</v>
      </c>
      <c r="I120">
        <v>55</v>
      </c>
      <c r="J120">
        <v>62</v>
      </c>
      <c r="K120">
        <v>58</v>
      </c>
      <c r="L120">
        <v>60</v>
      </c>
      <c r="M120">
        <v>68</v>
      </c>
      <c r="N120">
        <f>SUM(Table1[[#This Row],[Math_Marks]:[Social_Marks]])</f>
        <v>303</v>
      </c>
      <c r="O120">
        <f>AVERAGE(Table1[[#This Row],[Math_Marks]:[Social_Marks]])</f>
        <v>60.6</v>
      </c>
      <c r="P120" t="str">
        <f>IF(Table1[[#This Row],[Total_Marks]]&gt;=400,"Top Performer","Need Improvement")</f>
        <v>Need Improvement</v>
      </c>
      <c r="Q120" t="str">
        <f>IF(Table1[[#This Row],[Total_Marks]]&gt;=400,"Excellent",IF(Table1[[#This Row],[Total_Marks]]&gt;=300,"Good",IF(Table1[[#This Row],[Total_Marks]]&gt;=200,"Average","Below Average")))</f>
        <v>Good</v>
      </c>
      <c r="R120" s="6"/>
      <c r="S120" s="7"/>
      <c r="T120" s="8"/>
    </row>
    <row r="121" spans="1:20" x14ac:dyDescent="0.3">
      <c r="A121" t="s">
        <v>132</v>
      </c>
      <c r="B121" t="s">
        <v>616</v>
      </c>
      <c r="C121" t="s">
        <v>828</v>
      </c>
      <c r="D121">
        <v>19</v>
      </c>
      <c r="E121" t="s">
        <v>833</v>
      </c>
      <c r="F121" t="s">
        <v>835</v>
      </c>
      <c r="G121">
        <v>88</v>
      </c>
      <c r="H121">
        <v>3.4</v>
      </c>
      <c r="I121">
        <v>39</v>
      </c>
      <c r="J121">
        <v>56</v>
      </c>
      <c r="K121">
        <v>30</v>
      </c>
      <c r="L121">
        <v>44</v>
      </c>
      <c r="M121">
        <v>37</v>
      </c>
      <c r="N121">
        <f>SUM(Table1[[#This Row],[Math_Marks]:[Social_Marks]])</f>
        <v>206</v>
      </c>
      <c r="O121">
        <f>AVERAGE(Table1[[#This Row],[Math_Marks]:[Social_Marks]])</f>
        <v>41.2</v>
      </c>
      <c r="P121" t="str">
        <f>IF(Table1[[#This Row],[Total_Marks]]&gt;=400,"Top Performer","Need Improvement")</f>
        <v>Need Improvement</v>
      </c>
      <c r="Q121" t="str">
        <f>IF(Table1[[#This Row],[Total_Marks]]&gt;=400,"Excellent",IF(Table1[[#This Row],[Total_Marks]]&gt;=300,"Good",IF(Table1[[#This Row],[Total_Marks]]&gt;=200,"Average","Below Average")))</f>
        <v>Average</v>
      </c>
      <c r="R121" s="6"/>
      <c r="S121" s="7"/>
      <c r="T121" s="8"/>
    </row>
    <row r="122" spans="1:20" x14ac:dyDescent="0.3">
      <c r="A122" t="s">
        <v>133</v>
      </c>
      <c r="B122" t="s">
        <v>697</v>
      </c>
      <c r="C122" t="s">
        <v>828</v>
      </c>
      <c r="D122">
        <v>18</v>
      </c>
      <c r="E122" t="s">
        <v>831</v>
      </c>
      <c r="F122" t="s">
        <v>842</v>
      </c>
      <c r="G122">
        <v>87</v>
      </c>
      <c r="H122">
        <v>6.6</v>
      </c>
      <c r="I122">
        <v>78</v>
      </c>
      <c r="J122">
        <v>63</v>
      </c>
      <c r="K122">
        <v>85</v>
      </c>
      <c r="L122">
        <v>69</v>
      </c>
      <c r="M122">
        <v>71</v>
      </c>
      <c r="N122">
        <f>SUM(Table1[[#This Row],[Math_Marks]:[Social_Marks]])</f>
        <v>366</v>
      </c>
      <c r="O122">
        <f>AVERAGE(Table1[[#This Row],[Math_Marks]:[Social_Marks]])</f>
        <v>73.2</v>
      </c>
      <c r="P122" t="str">
        <f>IF(Table1[[#This Row],[Total_Marks]]&gt;=400,"Top Performer","Need Improvement")</f>
        <v>Need Improvement</v>
      </c>
      <c r="Q122" t="str">
        <f>IF(Table1[[#This Row],[Total_Marks]]&gt;=400,"Excellent",IF(Table1[[#This Row],[Total_Marks]]&gt;=300,"Good",IF(Table1[[#This Row],[Total_Marks]]&gt;=200,"Average","Below Average")))</f>
        <v>Good</v>
      </c>
      <c r="R122" s="6"/>
      <c r="S122" s="7"/>
      <c r="T122" s="8"/>
    </row>
    <row r="123" spans="1:20" x14ac:dyDescent="0.3">
      <c r="A123" t="s">
        <v>134</v>
      </c>
      <c r="B123" t="s">
        <v>706</v>
      </c>
      <c r="C123" t="s">
        <v>827</v>
      </c>
      <c r="D123">
        <v>18</v>
      </c>
      <c r="E123" t="s">
        <v>830</v>
      </c>
      <c r="F123" t="s">
        <v>838</v>
      </c>
      <c r="G123">
        <v>90</v>
      </c>
      <c r="H123">
        <v>4.2</v>
      </c>
      <c r="I123">
        <v>55</v>
      </c>
      <c r="J123">
        <v>62</v>
      </c>
      <c r="K123">
        <v>41</v>
      </c>
      <c r="L123">
        <v>48</v>
      </c>
      <c r="M123">
        <v>63</v>
      </c>
      <c r="N123">
        <f>SUM(Table1[[#This Row],[Math_Marks]:[Social_Marks]])</f>
        <v>269</v>
      </c>
      <c r="O123">
        <f>AVERAGE(Table1[[#This Row],[Math_Marks]:[Social_Marks]])</f>
        <v>53.8</v>
      </c>
      <c r="P123" t="str">
        <f>IF(Table1[[#This Row],[Total_Marks]]&gt;=400,"Top Performer","Need Improvement")</f>
        <v>Need Improvement</v>
      </c>
      <c r="Q123" t="str">
        <f>IF(Table1[[#This Row],[Total_Marks]]&gt;=400,"Excellent",IF(Table1[[#This Row],[Total_Marks]]&gt;=300,"Good",IF(Table1[[#This Row],[Total_Marks]]&gt;=200,"Average","Below Average")))</f>
        <v>Average</v>
      </c>
      <c r="R123" s="6"/>
      <c r="S123" s="7"/>
      <c r="T123" s="8"/>
    </row>
    <row r="124" spans="1:20" x14ac:dyDescent="0.3">
      <c r="A124" t="s">
        <v>135</v>
      </c>
      <c r="B124" t="s">
        <v>696</v>
      </c>
      <c r="C124" t="s">
        <v>827</v>
      </c>
      <c r="D124">
        <v>20</v>
      </c>
      <c r="E124" t="s">
        <v>834</v>
      </c>
      <c r="F124" t="s">
        <v>840</v>
      </c>
      <c r="G124">
        <v>86</v>
      </c>
      <c r="H124">
        <v>4.8</v>
      </c>
      <c r="I124">
        <v>86</v>
      </c>
      <c r="J124">
        <v>82</v>
      </c>
      <c r="K124">
        <v>92</v>
      </c>
      <c r="L124">
        <v>92</v>
      </c>
      <c r="M124">
        <v>84</v>
      </c>
      <c r="N124">
        <f>SUM(Table1[[#This Row],[Math_Marks]:[Social_Marks]])</f>
        <v>436</v>
      </c>
      <c r="O124">
        <f>AVERAGE(Table1[[#This Row],[Math_Marks]:[Social_Marks]])</f>
        <v>87.2</v>
      </c>
      <c r="P124" t="str">
        <f>IF(Table1[[#This Row],[Total_Marks]]&gt;=400,"Top Performer","Need Improvement")</f>
        <v>Top Performer</v>
      </c>
      <c r="Q124" t="str">
        <f>IF(Table1[[#This Row],[Total_Marks]]&gt;=400,"Excellent",IF(Table1[[#This Row],[Total_Marks]]&gt;=300,"Good",IF(Table1[[#This Row],[Total_Marks]]&gt;=200,"Average","Below Average")))</f>
        <v>Excellent</v>
      </c>
      <c r="R124" s="6"/>
      <c r="S124" s="7"/>
      <c r="T124" s="8"/>
    </row>
    <row r="125" spans="1:20" x14ac:dyDescent="0.3">
      <c r="A125" t="s">
        <v>136</v>
      </c>
      <c r="B125" t="s">
        <v>707</v>
      </c>
      <c r="C125" t="s">
        <v>827</v>
      </c>
      <c r="D125">
        <v>21</v>
      </c>
      <c r="E125" t="s">
        <v>831</v>
      </c>
      <c r="F125" t="s">
        <v>838</v>
      </c>
      <c r="G125">
        <v>75</v>
      </c>
      <c r="H125">
        <v>5.2</v>
      </c>
      <c r="I125">
        <v>66</v>
      </c>
      <c r="J125">
        <v>72</v>
      </c>
      <c r="K125">
        <v>57</v>
      </c>
      <c r="L125">
        <v>70</v>
      </c>
      <c r="M125">
        <v>83</v>
      </c>
      <c r="N125">
        <f>SUM(Table1[[#This Row],[Math_Marks]:[Social_Marks]])</f>
        <v>348</v>
      </c>
      <c r="O125">
        <f>AVERAGE(Table1[[#This Row],[Math_Marks]:[Social_Marks]])</f>
        <v>69.599999999999994</v>
      </c>
      <c r="P125" t="str">
        <f>IF(Table1[[#This Row],[Total_Marks]]&gt;=400,"Top Performer","Need Improvement")</f>
        <v>Need Improvement</v>
      </c>
      <c r="Q125" t="str">
        <f>IF(Table1[[#This Row],[Total_Marks]]&gt;=400,"Excellent",IF(Table1[[#This Row],[Total_Marks]]&gt;=300,"Good",IF(Table1[[#This Row],[Total_Marks]]&gt;=200,"Average","Below Average")))</f>
        <v>Good</v>
      </c>
      <c r="R125" s="6"/>
      <c r="S125" s="7"/>
      <c r="T125" s="8"/>
    </row>
    <row r="126" spans="1:20" x14ac:dyDescent="0.3">
      <c r="A126" t="s">
        <v>137</v>
      </c>
      <c r="B126" t="s">
        <v>708</v>
      </c>
      <c r="C126" t="s">
        <v>828</v>
      </c>
      <c r="D126">
        <v>18</v>
      </c>
      <c r="E126" t="s">
        <v>830</v>
      </c>
      <c r="F126" t="s">
        <v>840</v>
      </c>
      <c r="G126">
        <v>78</v>
      </c>
      <c r="H126">
        <v>3.4</v>
      </c>
      <c r="I126">
        <v>66</v>
      </c>
      <c r="J126">
        <v>45</v>
      </c>
      <c r="K126">
        <v>66</v>
      </c>
      <c r="L126">
        <v>56</v>
      </c>
      <c r="M126">
        <v>62</v>
      </c>
      <c r="N126">
        <f>SUM(Table1[[#This Row],[Math_Marks]:[Social_Marks]])</f>
        <v>295</v>
      </c>
      <c r="O126">
        <f>AVERAGE(Table1[[#This Row],[Math_Marks]:[Social_Marks]])</f>
        <v>59</v>
      </c>
      <c r="P126" t="str">
        <f>IF(Table1[[#This Row],[Total_Marks]]&gt;=400,"Top Performer","Need Improvement")</f>
        <v>Need Improvement</v>
      </c>
      <c r="Q126" t="str">
        <f>IF(Table1[[#This Row],[Total_Marks]]&gt;=400,"Excellent",IF(Table1[[#This Row],[Total_Marks]]&gt;=300,"Good",IF(Table1[[#This Row],[Total_Marks]]&gt;=200,"Average","Below Average")))</f>
        <v>Average</v>
      </c>
      <c r="R126" s="6"/>
      <c r="S126" s="7"/>
      <c r="T126" s="8"/>
    </row>
    <row r="127" spans="1:20" x14ac:dyDescent="0.3">
      <c r="A127" t="s">
        <v>138</v>
      </c>
      <c r="B127" t="s">
        <v>709</v>
      </c>
      <c r="C127" t="s">
        <v>827</v>
      </c>
      <c r="D127">
        <v>21</v>
      </c>
      <c r="E127" t="s">
        <v>833</v>
      </c>
      <c r="F127" t="s">
        <v>835</v>
      </c>
      <c r="G127">
        <v>90</v>
      </c>
      <c r="H127">
        <v>1.5</v>
      </c>
      <c r="I127">
        <v>66</v>
      </c>
      <c r="J127">
        <v>50</v>
      </c>
      <c r="K127">
        <v>62</v>
      </c>
      <c r="L127">
        <v>66</v>
      </c>
      <c r="M127">
        <v>67</v>
      </c>
      <c r="N127">
        <f>SUM(Table1[[#This Row],[Math_Marks]:[Social_Marks]])</f>
        <v>311</v>
      </c>
      <c r="O127">
        <f>AVERAGE(Table1[[#This Row],[Math_Marks]:[Social_Marks]])</f>
        <v>62.2</v>
      </c>
      <c r="P127" t="str">
        <f>IF(Table1[[#This Row],[Total_Marks]]&gt;=400,"Top Performer","Need Improvement")</f>
        <v>Need Improvement</v>
      </c>
      <c r="Q127" t="str">
        <f>IF(Table1[[#This Row],[Total_Marks]]&gt;=400,"Excellent",IF(Table1[[#This Row],[Total_Marks]]&gt;=300,"Good",IF(Table1[[#This Row],[Total_Marks]]&gt;=200,"Average","Below Average")))</f>
        <v>Good</v>
      </c>
      <c r="R127" s="6"/>
      <c r="S127" s="7"/>
      <c r="T127" s="8"/>
    </row>
    <row r="128" spans="1:20" x14ac:dyDescent="0.3">
      <c r="A128" t="s">
        <v>139</v>
      </c>
      <c r="B128" t="s">
        <v>710</v>
      </c>
      <c r="C128" t="s">
        <v>827</v>
      </c>
      <c r="D128">
        <v>19</v>
      </c>
      <c r="E128" t="s">
        <v>831</v>
      </c>
      <c r="F128" t="s">
        <v>840</v>
      </c>
      <c r="G128">
        <v>93</v>
      </c>
      <c r="H128">
        <v>1</v>
      </c>
      <c r="I128">
        <v>52</v>
      </c>
      <c r="J128">
        <v>39</v>
      </c>
      <c r="K128">
        <v>54</v>
      </c>
      <c r="L128">
        <v>63</v>
      </c>
      <c r="M128">
        <v>45</v>
      </c>
      <c r="N128">
        <f>SUM(Table1[[#This Row],[Math_Marks]:[Social_Marks]])</f>
        <v>253</v>
      </c>
      <c r="O128">
        <f>AVERAGE(Table1[[#This Row],[Math_Marks]:[Social_Marks]])</f>
        <v>50.6</v>
      </c>
      <c r="P128" t="str">
        <f>IF(Table1[[#This Row],[Total_Marks]]&gt;=400,"Top Performer","Need Improvement")</f>
        <v>Need Improvement</v>
      </c>
      <c r="Q128" t="str">
        <f>IF(Table1[[#This Row],[Total_Marks]]&gt;=400,"Excellent",IF(Table1[[#This Row],[Total_Marks]]&gt;=300,"Good",IF(Table1[[#This Row],[Total_Marks]]&gt;=200,"Average","Below Average")))</f>
        <v>Average</v>
      </c>
      <c r="R128" s="6"/>
      <c r="S128" s="7"/>
      <c r="T128" s="8"/>
    </row>
    <row r="129" spans="1:20" x14ac:dyDescent="0.3">
      <c r="A129" t="s">
        <v>140</v>
      </c>
      <c r="B129" t="s">
        <v>711</v>
      </c>
      <c r="C129" t="s">
        <v>828</v>
      </c>
      <c r="D129">
        <v>18</v>
      </c>
      <c r="E129" t="s">
        <v>829</v>
      </c>
      <c r="F129" t="s">
        <v>840</v>
      </c>
      <c r="G129">
        <v>95</v>
      </c>
      <c r="H129">
        <v>3</v>
      </c>
      <c r="I129">
        <v>52</v>
      </c>
      <c r="J129">
        <v>82</v>
      </c>
      <c r="K129">
        <v>72</v>
      </c>
      <c r="L129">
        <v>66</v>
      </c>
      <c r="M129">
        <v>72</v>
      </c>
      <c r="N129">
        <f>SUM(Table1[[#This Row],[Math_Marks]:[Social_Marks]])</f>
        <v>344</v>
      </c>
      <c r="O129">
        <f>AVERAGE(Table1[[#This Row],[Math_Marks]:[Social_Marks]])</f>
        <v>68.8</v>
      </c>
      <c r="P129" t="str">
        <f>IF(Table1[[#This Row],[Total_Marks]]&gt;=400,"Top Performer","Need Improvement")</f>
        <v>Need Improvement</v>
      </c>
      <c r="Q129" t="str">
        <f>IF(Table1[[#This Row],[Total_Marks]]&gt;=400,"Excellent",IF(Table1[[#This Row],[Total_Marks]]&gt;=300,"Good",IF(Table1[[#This Row],[Total_Marks]]&gt;=200,"Average","Below Average")))</f>
        <v>Good</v>
      </c>
      <c r="R129" s="6"/>
      <c r="S129" s="7"/>
      <c r="T129" s="8"/>
    </row>
    <row r="130" spans="1:20" x14ac:dyDescent="0.3">
      <c r="A130" t="s">
        <v>141</v>
      </c>
      <c r="B130" t="s">
        <v>645</v>
      </c>
      <c r="C130" t="s">
        <v>828</v>
      </c>
      <c r="D130">
        <v>20</v>
      </c>
      <c r="E130" t="s">
        <v>832</v>
      </c>
      <c r="F130" t="s">
        <v>838</v>
      </c>
      <c r="G130">
        <v>80</v>
      </c>
      <c r="H130">
        <v>3.1</v>
      </c>
      <c r="I130">
        <v>62</v>
      </c>
      <c r="J130">
        <v>59</v>
      </c>
      <c r="K130">
        <v>62</v>
      </c>
      <c r="L130">
        <v>57</v>
      </c>
      <c r="M130">
        <v>61</v>
      </c>
      <c r="N130">
        <f>SUM(Table1[[#This Row],[Math_Marks]:[Social_Marks]])</f>
        <v>301</v>
      </c>
      <c r="O130">
        <f>AVERAGE(Table1[[#This Row],[Math_Marks]:[Social_Marks]])</f>
        <v>60.2</v>
      </c>
      <c r="P130" t="str">
        <f>IF(Table1[[#This Row],[Total_Marks]]&gt;=400,"Top Performer","Need Improvement")</f>
        <v>Need Improvement</v>
      </c>
      <c r="Q130" t="str">
        <f>IF(Table1[[#This Row],[Total_Marks]]&gt;=400,"Excellent",IF(Table1[[#This Row],[Total_Marks]]&gt;=300,"Good",IF(Table1[[#This Row],[Total_Marks]]&gt;=200,"Average","Below Average")))</f>
        <v>Good</v>
      </c>
      <c r="R130" s="6"/>
      <c r="S130" s="7"/>
      <c r="T130" s="8"/>
    </row>
    <row r="131" spans="1:20" x14ac:dyDescent="0.3">
      <c r="A131" t="s">
        <v>142</v>
      </c>
      <c r="B131" t="s">
        <v>628</v>
      </c>
      <c r="C131" t="s">
        <v>828</v>
      </c>
      <c r="D131">
        <v>21</v>
      </c>
      <c r="E131" t="s">
        <v>830</v>
      </c>
      <c r="F131" t="s">
        <v>835</v>
      </c>
      <c r="G131">
        <v>93</v>
      </c>
      <c r="H131">
        <v>5.9</v>
      </c>
      <c r="I131">
        <v>87</v>
      </c>
      <c r="J131">
        <v>77</v>
      </c>
      <c r="K131">
        <v>77</v>
      </c>
      <c r="L131">
        <v>69</v>
      </c>
      <c r="M131">
        <v>67</v>
      </c>
      <c r="N131">
        <f>SUM(Table1[[#This Row],[Math_Marks]:[Social_Marks]])</f>
        <v>377</v>
      </c>
      <c r="O131">
        <f>AVERAGE(Table1[[#This Row],[Math_Marks]:[Social_Marks]])</f>
        <v>75.400000000000006</v>
      </c>
      <c r="P131" t="str">
        <f>IF(Table1[[#This Row],[Total_Marks]]&gt;=400,"Top Performer","Need Improvement")</f>
        <v>Need Improvement</v>
      </c>
      <c r="Q131" t="str">
        <f>IF(Table1[[#This Row],[Total_Marks]]&gt;=400,"Excellent",IF(Table1[[#This Row],[Total_Marks]]&gt;=300,"Good",IF(Table1[[#This Row],[Total_Marks]]&gt;=200,"Average","Below Average")))</f>
        <v>Good</v>
      </c>
      <c r="R131" s="6"/>
      <c r="S131" s="7"/>
      <c r="T131" s="8"/>
    </row>
    <row r="132" spans="1:20" x14ac:dyDescent="0.3">
      <c r="A132" t="s">
        <v>143</v>
      </c>
      <c r="B132" t="s">
        <v>712</v>
      </c>
      <c r="C132" t="s">
        <v>827</v>
      </c>
      <c r="D132">
        <v>21</v>
      </c>
      <c r="E132" t="s">
        <v>832</v>
      </c>
      <c r="F132" t="s">
        <v>842</v>
      </c>
      <c r="G132">
        <v>83</v>
      </c>
      <c r="H132">
        <v>2.4</v>
      </c>
      <c r="I132">
        <v>72</v>
      </c>
      <c r="J132">
        <v>70</v>
      </c>
      <c r="K132">
        <v>71</v>
      </c>
      <c r="L132">
        <v>62</v>
      </c>
      <c r="M132">
        <v>57</v>
      </c>
      <c r="N132">
        <f>SUM(Table1[[#This Row],[Math_Marks]:[Social_Marks]])</f>
        <v>332</v>
      </c>
      <c r="O132">
        <f>AVERAGE(Table1[[#This Row],[Math_Marks]:[Social_Marks]])</f>
        <v>66.400000000000006</v>
      </c>
      <c r="P132" t="str">
        <f>IF(Table1[[#This Row],[Total_Marks]]&gt;=400,"Top Performer","Need Improvement")</f>
        <v>Need Improvement</v>
      </c>
      <c r="Q132" t="str">
        <f>IF(Table1[[#This Row],[Total_Marks]]&gt;=400,"Excellent",IF(Table1[[#This Row],[Total_Marks]]&gt;=300,"Good",IF(Table1[[#This Row],[Total_Marks]]&gt;=200,"Average","Below Average")))</f>
        <v>Good</v>
      </c>
      <c r="R132" s="6"/>
      <c r="S132" s="7"/>
      <c r="T132" s="8"/>
    </row>
    <row r="133" spans="1:20" x14ac:dyDescent="0.3">
      <c r="A133" t="s">
        <v>144</v>
      </c>
      <c r="B133" t="s">
        <v>654</v>
      </c>
      <c r="C133" t="s">
        <v>828</v>
      </c>
      <c r="D133">
        <v>20</v>
      </c>
      <c r="E133" t="s">
        <v>829</v>
      </c>
      <c r="F133" t="s">
        <v>841</v>
      </c>
      <c r="G133">
        <v>81</v>
      </c>
      <c r="H133">
        <v>3.1</v>
      </c>
      <c r="I133">
        <v>31</v>
      </c>
      <c r="J133">
        <v>49</v>
      </c>
      <c r="K133">
        <v>35</v>
      </c>
      <c r="L133">
        <v>43</v>
      </c>
      <c r="M133">
        <v>30</v>
      </c>
      <c r="N133">
        <f>SUM(Table1[[#This Row],[Math_Marks]:[Social_Marks]])</f>
        <v>188</v>
      </c>
      <c r="O133">
        <f>AVERAGE(Table1[[#This Row],[Math_Marks]:[Social_Marks]])</f>
        <v>37.6</v>
      </c>
      <c r="P133" t="str">
        <f>IF(Table1[[#This Row],[Total_Marks]]&gt;=400,"Top Performer","Need Improvement")</f>
        <v>Need Improvement</v>
      </c>
      <c r="Q133" t="str">
        <f>IF(Table1[[#This Row],[Total_Marks]]&gt;=400,"Excellent",IF(Table1[[#This Row],[Total_Marks]]&gt;=300,"Good",IF(Table1[[#This Row],[Total_Marks]]&gt;=200,"Average","Below Average")))</f>
        <v>Below Average</v>
      </c>
      <c r="R133" s="6"/>
      <c r="S133" s="7"/>
      <c r="T133" s="8"/>
    </row>
    <row r="134" spans="1:20" x14ac:dyDescent="0.3">
      <c r="A134" t="s">
        <v>145</v>
      </c>
      <c r="B134" t="s">
        <v>713</v>
      </c>
      <c r="C134" t="s">
        <v>827</v>
      </c>
      <c r="D134">
        <v>21</v>
      </c>
      <c r="E134" t="s">
        <v>830</v>
      </c>
      <c r="F134" t="s">
        <v>838</v>
      </c>
      <c r="G134">
        <v>100</v>
      </c>
      <c r="H134">
        <v>6.1</v>
      </c>
      <c r="I134">
        <v>71</v>
      </c>
      <c r="J134">
        <v>73</v>
      </c>
      <c r="K134">
        <v>79</v>
      </c>
      <c r="L134">
        <v>74</v>
      </c>
      <c r="M134">
        <v>72</v>
      </c>
      <c r="N134">
        <f>SUM(Table1[[#This Row],[Math_Marks]:[Social_Marks]])</f>
        <v>369</v>
      </c>
      <c r="O134">
        <f>AVERAGE(Table1[[#This Row],[Math_Marks]:[Social_Marks]])</f>
        <v>73.8</v>
      </c>
      <c r="P134" t="str">
        <f>IF(Table1[[#This Row],[Total_Marks]]&gt;=400,"Top Performer","Need Improvement")</f>
        <v>Need Improvement</v>
      </c>
      <c r="Q134" t="str">
        <f>IF(Table1[[#This Row],[Total_Marks]]&gt;=400,"Excellent",IF(Table1[[#This Row],[Total_Marks]]&gt;=300,"Good",IF(Table1[[#This Row],[Total_Marks]]&gt;=200,"Average","Below Average")))</f>
        <v>Good</v>
      </c>
      <c r="R134" s="6"/>
      <c r="S134" s="7"/>
      <c r="T134" s="8"/>
    </row>
    <row r="135" spans="1:20" x14ac:dyDescent="0.3">
      <c r="A135" t="s">
        <v>146</v>
      </c>
      <c r="B135" t="s">
        <v>686</v>
      </c>
      <c r="C135" t="s">
        <v>828</v>
      </c>
      <c r="D135">
        <v>18</v>
      </c>
      <c r="E135" t="s">
        <v>830</v>
      </c>
      <c r="F135" t="s">
        <v>835</v>
      </c>
      <c r="G135">
        <v>82</v>
      </c>
      <c r="H135">
        <v>6.5</v>
      </c>
      <c r="I135">
        <v>85</v>
      </c>
      <c r="J135">
        <v>72</v>
      </c>
      <c r="K135">
        <v>71</v>
      </c>
      <c r="L135">
        <v>81</v>
      </c>
      <c r="M135">
        <v>85</v>
      </c>
      <c r="N135">
        <f>SUM(Table1[[#This Row],[Math_Marks]:[Social_Marks]])</f>
        <v>394</v>
      </c>
      <c r="O135">
        <f>AVERAGE(Table1[[#This Row],[Math_Marks]:[Social_Marks]])</f>
        <v>78.8</v>
      </c>
      <c r="P135" t="str">
        <f>IF(Table1[[#This Row],[Total_Marks]]&gt;=400,"Top Performer","Need Improvement")</f>
        <v>Need Improvement</v>
      </c>
      <c r="Q135" t="str">
        <f>IF(Table1[[#This Row],[Total_Marks]]&gt;=400,"Excellent",IF(Table1[[#This Row],[Total_Marks]]&gt;=300,"Good",IF(Table1[[#This Row],[Total_Marks]]&gt;=200,"Average","Below Average")))</f>
        <v>Good</v>
      </c>
      <c r="R135" s="6"/>
      <c r="S135" s="7"/>
      <c r="T135" s="8"/>
    </row>
    <row r="136" spans="1:20" x14ac:dyDescent="0.3">
      <c r="A136" t="s">
        <v>147</v>
      </c>
      <c r="B136" t="s">
        <v>714</v>
      </c>
      <c r="C136" t="s">
        <v>827</v>
      </c>
      <c r="D136">
        <v>20</v>
      </c>
      <c r="E136" t="s">
        <v>834</v>
      </c>
      <c r="F136" t="s">
        <v>839</v>
      </c>
      <c r="G136">
        <v>69</v>
      </c>
      <c r="H136">
        <v>1.1000000000000001</v>
      </c>
      <c r="I136">
        <v>60</v>
      </c>
      <c r="J136">
        <v>51</v>
      </c>
      <c r="K136">
        <v>33</v>
      </c>
      <c r="L136">
        <v>50</v>
      </c>
      <c r="M136">
        <v>50</v>
      </c>
      <c r="N136">
        <f>SUM(Table1[[#This Row],[Math_Marks]:[Social_Marks]])</f>
        <v>244</v>
      </c>
      <c r="O136">
        <f>AVERAGE(Table1[[#This Row],[Math_Marks]:[Social_Marks]])</f>
        <v>48.8</v>
      </c>
      <c r="P136" t="str">
        <f>IF(Table1[[#This Row],[Total_Marks]]&gt;=400,"Top Performer","Need Improvement")</f>
        <v>Need Improvement</v>
      </c>
      <c r="Q136" t="str">
        <f>IF(Table1[[#This Row],[Total_Marks]]&gt;=400,"Excellent",IF(Table1[[#This Row],[Total_Marks]]&gt;=300,"Good",IF(Table1[[#This Row],[Total_Marks]]&gt;=200,"Average","Below Average")))</f>
        <v>Average</v>
      </c>
      <c r="R136" s="9"/>
      <c r="S136" s="10"/>
      <c r="T136" s="11"/>
    </row>
    <row r="137" spans="1:20" x14ac:dyDescent="0.3">
      <c r="A137" t="s">
        <v>148</v>
      </c>
      <c r="B137" t="s">
        <v>687</v>
      </c>
      <c r="C137" t="s">
        <v>828</v>
      </c>
      <c r="D137">
        <v>22</v>
      </c>
      <c r="E137" t="s">
        <v>831</v>
      </c>
      <c r="F137" t="s">
        <v>836</v>
      </c>
      <c r="G137">
        <v>97</v>
      </c>
      <c r="H137">
        <v>4.5</v>
      </c>
      <c r="I137">
        <v>75</v>
      </c>
      <c r="J137">
        <v>77</v>
      </c>
      <c r="K137">
        <v>81</v>
      </c>
      <c r="L137">
        <v>68</v>
      </c>
      <c r="M137">
        <v>81</v>
      </c>
      <c r="N137">
        <f>SUM(Table1[[#This Row],[Math_Marks]:[Social_Marks]])</f>
        <v>382</v>
      </c>
      <c r="O137">
        <f>AVERAGE(Table1[[#This Row],[Math_Marks]:[Social_Marks]])</f>
        <v>76.400000000000006</v>
      </c>
      <c r="P137" t="str">
        <f>IF(Table1[[#This Row],[Total_Marks]]&gt;=400,"Top Performer","Need Improvement")</f>
        <v>Need Improvement</v>
      </c>
      <c r="Q137" t="str">
        <f>IF(Table1[[#This Row],[Total_Marks]]&gt;=400,"Excellent",IF(Table1[[#This Row],[Total_Marks]]&gt;=300,"Good",IF(Table1[[#This Row],[Total_Marks]]&gt;=200,"Average","Below Average")))</f>
        <v>Good</v>
      </c>
    </row>
    <row r="138" spans="1:20" x14ac:dyDescent="0.3">
      <c r="A138" t="s">
        <v>149</v>
      </c>
      <c r="B138" t="s">
        <v>715</v>
      </c>
      <c r="C138" t="s">
        <v>828</v>
      </c>
      <c r="D138">
        <v>19</v>
      </c>
      <c r="E138" t="s">
        <v>833</v>
      </c>
      <c r="F138" t="s">
        <v>842</v>
      </c>
      <c r="G138">
        <v>76</v>
      </c>
      <c r="H138">
        <v>3.8</v>
      </c>
      <c r="I138">
        <v>50</v>
      </c>
      <c r="J138">
        <v>56</v>
      </c>
      <c r="K138">
        <v>50</v>
      </c>
      <c r="L138">
        <v>61</v>
      </c>
      <c r="M138">
        <v>49</v>
      </c>
      <c r="N138">
        <f>SUM(Table1[[#This Row],[Math_Marks]:[Social_Marks]])</f>
        <v>266</v>
      </c>
      <c r="O138">
        <f>AVERAGE(Table1[[#This Row],[Math_Marks]:[Social_Marks]])</f>
        <v>53.2</v>
      </c>
      <c r="P138" t="str">
        <f>IF(Table1[[#This Row],[Total_Marks]]&gt;=400,"Top Performer","Need Improvement")</f>
        <v>Need Improvement</v>
      </c>
      <c r="Q138" t="str">
        <f>IF(Table1[[#This Row],[Total_Marks]]&gt;=400,"Excellent",IF(Table1[[#This Row],[Total_Marks]]&gt;=300,"Good",IF(Table1[[#This Row],[Total_Marks]]&gt;=200,"Average","Below Average")))</f>
        <v>Average</v>
      </c>
    </row>
    <row r="139" spans="1:20" x14ac:dyDescent="0.3">
      <c r="A139" t="s">
        <v>150</v>
      </c>
      <c r="B139" t="s">
        <v>635</v>
      </c>
      <c r="C139" t="s">
        <v>827</v>
      </c>
      <c r="D139">
        <v>20</v>
      </c>
      <c r="E139" t="s">
        <v>829</v>
      </c>
      <c r="F139" t="s">
        <v>835</v>
      </c>
      <c r="G139">
        <v>76</v>
      </c>
      <c r="H139">
        <v>5.8</v>
      </c>
      <c r="I139">
        <v>72</v>
      </c>
      <c r="J139">
        <v>77</v>
      </c>
      <c r="K139">
        <v>56</v>
      </c>
      <c r="L139">
        <v>73</v>
      </c>
      <c r="M139">
        <v>89</v>
      </c>
      <c r="N139">
        <f>SUM(Table1[[#This Row],[Math_Marks]:[Social_Marks]])</f>
        <v>367</v>
      </c>
      <c r="O139">
        <f>AVERAGE(Table1[[#This Row],[Math_Marks]:[Social_Marks]])</f>
        <v>73.400000000000006</v>
      </c>
      <c r="P139" t="str">
        <f>IF(Table1[[#This Row],[Total_Marks]]&gt;=400,"Top Performer","Need Improvement")</f>
        <v>Need Improvement</v>
      </c>
      <c r="Q139" t="str">
        <f>IF(Table1[[#This Row],[Total_Marks]]&gt;=400,"Excellent",IF(Table1[[#This Row],[Total_Marks]]&gt;=300,"Good",IF(Table1[[#This Row],[Total_Marks]]&gt;=200,"Average","Below Average")))</f>
        <v>Good</v>
      </c>
    </row>
    <row r="140" spans="1:20" x14ac:dyDescent="0.3">
      <c r="A140" t="s">
        <v>151</v>
      </c>
      <c r="B140" t="s">
        <v>716</v>
      </c>
      <c r="C140" t="s">
        <v>827</v>
      </c>
      <c r="D140">
        <v>18</v>
      </c>
      <c r="E140" t="s">
        <v>833</v>
      </c>
      <c r="F140" t="s">
        <v>839</v>
      </c>
      <c r="G140">
        <v>90</v>
      </c>
      <c r="H140">
        <v>1</v>
      </c>
      <c r="I140">
        <v>45</v>
      </c>
      <c r="J140">
        <v>37</v>
      </c>
      <c r="K140">
        <v>54</v>
      </c>
      <c r="L140">
        <v>41</v>
      </c>
      <c r="M140">
        <v>30</v>
      </c>
      <c r="N140">
        <f>SUM(Table1[[#This Row],[Math_Marks]:[Social_Marks]])</f>
        <v>207</v>
      </c>
      <c r="O140">
        <f>AVERAGE(Table1[[#This Row],[Math_Marks]:[Social_Marks]])</f>
        <v>41.4</v>
      </c>
      <c r="P140" t="str">
        <f>IF(Table1[[#This Row],[Total_Marks]]&gt;=400,"Top Performer","Need Improvement")</f>
        <v>Need Improvement</v>
      </c>
      <c r="Q140" t="str">
        <f>IF(Table1[[#This Row],[Total_Marks]]&gt;=400,"Excellent",IF(Table1[[#This Row],[Total_Marks]]&gt;=300,"Good",IF(Table1[[#This Row],[Total_Marks]]&gt;=200,"Average","Below Average")))</f>
        <v>Average</v>
      </c>
    </row>
    <row r="141" spans="1:20" x14ac:dyDescent="0.3">
      <c r="A141" t="s">
        <v>152</v>
      </c>
      <c r="B141" t="s">
        <v>707</v>
      </c>
      <c r="C141" t="s">
        <v>828</v>
      </c>
      <c r="D141">
        <v>20</v>
      </c>
      <c r="E141" t="s">
        <v>830</v>
      </c>
      <c r="F141" t="s">
        <v>840</v>
      </c>
      <c r="G141">
        <v>80</v>
      </c>
      <c r="H141">
        <v>3.2</v>
      </c>
      <c r="I141">
        <v>79</v>
      </c>
      <c r="J141">
        <v>68</v>
      </c>
      <c r="K141">
        <v>52</v>
      </c>
      <c r="L141">
        <v>74</v>
      </c>
      <c r="M141">
        <v>73</v>
      </c>
      <c r="N141">
        <f>SUM(Table1[[#This Row],[Math_Marks]:[Social_Marks]])</f>
        <v>346</v>
      </c>
      <c r="O141">
        <f>AVERAGE(Table1[[#This Row],[Math_Marks]:[Social_Marks]])</f>
        <v>69.2</v>
      </c>
      <c r="P141" t="str">
        <f>IF(Table1[[#This Row],[Total_Marks]]&gt;=400,"Top Performer","Need Improvement")</f>
        <v>Need Improvement</v>
      </c>
      <c r="Q141" t="str">
        <f>IF(Table1[[#This Row],[Total_Marks]]&gt;=400,"Excellent",IF(Table1[[#This Row],[Total_Marks]]&gt;=300,"Good",IF(Table1[[#This Row],[Total_Marks]]&gt;=200,"Average","Below Average")))</f>
        <v>Good</v>
      </c>
    </row>
    <row r="142" spans="1:20" x14ac:dyDescent="0.3">
      <c r="A142" t="s">
        <v>153</v>
      </c>
      <c r="B142" t="s">
        <v>717</v>
      </c>
      <c r="C142" t="s">
        <v>827</v>
      </c>
      <c r="D142">
        <v>21</v>
      </c>
      <c r="E142" t="s">
        <v>830</v>
      </c>
      <c r="F142" t="s">
        <v>835</v>
      </c>
      <c r="G142">
        <v>100</v>
      </c>
      <c r="H142">
        <v>2.4</v>
      </c>
      <c r="I142">
        <v>54</v>
      </c>
      <c r="J142">
        <v>60</v>
      </c>
      <c r="K142">
        <v>80</v>
      </c>
      <c r="L142">
        <v>66</v>
      </c>
      <c r="M142">
        <v>75</v>
      </c>
      <c r="N142">
        <f>SUM(Table1[[#This Row],[Math_Marks]:[Social_Marks]])</f>
        <v>335</v>
      </c>
      <c r="O142">
        <f>AVERAGE(Table1[[#This Row],[Math_Marks]:[Social_Marks]])</f>
        <v>67</v>
      </c>
      <c r="P142" t="str">
        <f>IF(Table1[[#This Row],[Total_Marks]]&gt;=400,"Top Performer","Need Improvement")</f>
        <v>Need Improvement</v>
      </c>
      <c r="Q142" t="str">
        <f>IF(Table1[[#This Row],[Total_Marks]]&gt;=400,"Excellent",IF(Table1[[#This Row],[Total_Marks]]&gt;=300,"Good",IF(Table1[[#This Row],[Total_Marks]]&gt;=200,"Average","Below Average")))</f>
        <v>Good</v>
      </c>
    </row>
    <row r="143" spans="1:20" x14ac:dyDescent="0.3">
      <c r="A143" t="s">
        <v>154</v>
      </c>
      <c r="B143" t="s">
        <v>624</v>
      </c>
      <c r="C143" t="s">
        <v>827</v>
      </c>
      <c r="D143">
        <v>22</v>
      </c>
      <c r="E143" t="s">
        <v>832</v>
      </c>
      <c r="F143" t="s">
        <v>841</v>
      </c>
      <c r="G143">
        <v>79</v>
      </c>
      <c r="H143">
        <v>1.1000000000000001</v>
      </c>
      <c r="I143">
        <v>52</v>
      </c>
      <c r="J143">
        <v>50</v>
      </c>
      <c r="K143">
        <v>35</v>
      </c>
      <c r="L143">
        <v>41</v>
      </c>
      <c r="M143">
        <v>43</v>
      </c>
      <c r="N143">
        <f>SUM(Table1[[#This Row],[Math_Marks]:[Social_Marks]])</f>
        <v>221</v>
      </c>
      <c r="O143">
        <f>AVERAGE(Table1[[#This Row],[Math_Marks]:[Social_Marks]])</f>
        <v>44.2</v>
      </c>
      <c r="P143" t="str">
        <f>IF(Table1[[#This Row],[Total_Marks]]&gt;=400,"Top Performer","Need Improvement")</f>
        <v>Need Improvement</v>
      </c>
      <c r="Q143" t="str">
        <f>IF(Table1[[#This Row],[Total_Marks]]&gt;=400,"Excellent",IF(Table1[[#This Row],[Total_Marks]]&gt;=300,"Good",IF(Table1[[#This Row],[Total_Marks]]&gt;=200,"Average","Below Average")))</f>
        <v>Average</v>
      </c>
    </row>
    <row r="144" spans="1:20" x14ac:dyDescent="0.3">
      <c r="A144" t="s">
        <v>155</v>
      </c>
      <c r="B144" t="s">
        <v>661</v>
      </c>
      <c r="C144" t="s">
        <v>828</v>
      </c>
      <c r="D144">
        <v>18</v>
      </c>
      <c r="E144" t="s">
        <v>831</v>
      </c>
      <c r="F144" t="s">
        <v>837</v>
      </c>
      <c r="G144">
        <v>75</v>
      </c>
      <c r="H144">
        <v>5</v>
      </c>
      <c r="I144">
        <v>72</v>
      </c>
      <c r="J144">
        <v>70</v>
      </c>
      <c r="K144">
        <v>74</v>
      </c>
      <c r="L144">
        <v>67</v>
      </c>
      <c r="M144">
        <v>64</v>
      </c>
      <c r="N144">
        <f>SUM(Table1[[#This Row],[Math_Marks]:[Social_Marks]])</f>
        <v>347</v>
      </c>
      <c r="O144">
        <f>AVERAGE(Table1[[#This Row],[Math_Marks]:[Social_Marks]])</f>
        <v>69.400000000000006</v>
      </c>
      <c r="P144" t="str">
        <f>IF(Table1[[#This Row],[Total_Marks]]&gt;=400,"Top Performer","Need Improvement")</f>
        <v>Need Improvement</v>
      </c>
      <c r="Q144" t="str">
        <f>IF(Table1[[#This Row],[Total_Marks]]&gt;=400,"Excellent",IF(Table1[[#This Row],[Total_Marks]]&gt;=300,"Good",IF(Table1[[#This Row],[Total_Marks]]&gt;=200,"Average","Below Average")))</f>
        <v>Good</v>
      </c>
    </row>
    <row r="145" spans="1:17" x14ac:dyDescent="0.3">
      <c r="A145" t="s">
        <v>156</v>
      </c>
      <c r="B145" t="s">
        <v>718</v>
      </c>
      <c r="C145" t="s">
        <v>827</v>
      </c>
      <c r="D145">
        <v>19</v>
      </c>
      <c r="E145" t="s">
        <v>832</v>
      </c>
      <c r="F145" t="s">
        <v>840</v>
      </c>
      <c r="G145">
        <v>83</v>
      </c>
      <c r="H145">
        <v>4.9000000000000004</v>
      </c>
      <c r="I145">
        <v>58</v>
      </c>
      <c r="J145">
        <v>56</v>
      </c>
      <c r="K145">
        <v>60</v>
      </c>
      <c r="L145">
        <v>58</v>
      </c>
      <c r="M145">
        <v>46</v>
      </c>
      <c r="N145">
        <f>SUM(Table1[[#This Row],[Math_Marks]:[Social_Marks]])</f>
        <v>278</v>
      </c>
      <c r="O145">
        <f>AVERAGE(Table1[[#This Row],[Math_Marks]:[Social_Marks]])</f>
        <v>55.6</v>
      </c>
      <c r="P145" t="str">
        <f>IF(Table1[[#This Row],[Total_Marks]]&gt;=400,"Top Performer","Need Improvement")</f>
        <v>Need Improvement</v>
      </c>
      <c r="Q145" t="str">
        <f>IF(Table1[[#This Row],[Total_Marks]]&gt;=400,"Excellent",IF(Table1[[#This Row],[Total_Marks]]&gt;=300,"Good",IF(Table1[[#This Row],[Total_Marks]]&gt;=200,"Average","Below Average")))</f>
        <v>Average</v>
      </c>
    </row>
    <row r="146" spans="1:17" x14ac:dyDescent="0.3">
      <c r="A146" t="s">
        <v>157</v>
      </c>
      <c r="B146" t="s">
        <v>655</v>
      </c>
      <c r="C146" t="s">
        <v>828</v>
      </c>
      <c r="D146">
        <v>20</v>
      </c>
      <c r="E146" t="s">
        <v>833</v>
      </c>
      <c r="F146" t="s">
        <v>841</v>
      </c>
      <c r="G146">
        <v>62</v>
      </c>
      <c r="H146">
        <v>4.3</v>
      </c>
      <c r="I146">
        <v>69</v>
      </c>
      <c r="J146">
        <v>75</v>
      </c>
      <c r="K146">
        <v>65</v>
      </c>
      <c r="L146">
        <v>69</v>
      </c>
      <c r="M146">
        <v>57</v>
      </c>
      <c r="N146">
        <f>SUM(Table1[[#This Row],[Math_Marks]:[Social_Marks]])</f>
        <v>335</v>
      </c>
      <c r="O146">
        <f>AVERAGE(Table1[[#This Row],[Math_Marks]:[Social_Marks]])</f>
        <v>67</v>
      </c>
      <c r="P146" t="str">
        <f>IF(Table1[[#This Row],[Total_Marks]]&gt;=400,"Top Performer","Need Improvement")</f>
        <v>Need Improvement</v>
      </c>
      <c r="Q146" t="str">
        <f>IF(Table1[[#This Row],[Total_Marks]]&gt;=400,"Excellent",IF(Table1[[#This Row],[Total_Marks]]&gt;=300,"Good",IF(Table1[[#This Row],[Total_Marks]]&gt;=200,"Average","Below Average")))</f>
        <v>Good</v>
      </c>
    </row>
    <row r="147" spans="1:17" x14ac:dyDescent="0.3">
      <c r="A147" t="s">
        <v>158</v>
      </c>
      <c r="B147" t="s">
        <v>719</v>
      </c>
      <c r="C147" t="s">
        <v>827</v>
      </c>
      <c r="D147">
        <v>18</v>
      </c>
      <c r="E147" t="s">
        <v>832</v>
      </c>
      <c r="F147" t="s">
        <v>836</v>
      </c>
      <c r="G147">
        <v>77</v>
      </c>
      <c r="H147">
        <v>1.7</v>
      </c>
      <c r="I147">
        <v>43</v>
      </c>
      <c r="J147">
        <v>39</v>
      </c>
      <c r="K147">
        <v>48</v>
      </c>
      <c r="L147">
        <v>48</v>
      </c>
      <c r="M147">
        <v>47</v>
      </c>
      <c r="N147">
        <f>SUM(Table1[[#This Row],[Math_Marks]:[Social_Marks]])</f>
        <v>225</v>
      </c>
      <c r="O147">
        <f>AVERAGE(Table1[[#This Row],[Math_Marks]:[Social_Marks]])</f>
        <v>45</v>
      </c>
      <c r="P147" t="str">
        <f>IF(Table1[[#This Row],[Total_Marks]]&gt;=400,"Top Performer","Need Improvement")</f>
        <v>Need Improvement</v>
      </c>
      <c r="Q147" t="str">
        <f>IF(Table1[[#This Row],[Total_Marks]]&gt;=400,"Excellent",IF(Table1[[#This Row],[Total_Marks]]&gt;=300,"Good",IF(Table1[[#This Row],[Total_Marks]]&gt;=200,"Average","Below Average")))</f>
        <v>Average</v>
      </c>
    </row>
    <row r="148" spans="1:17" x14ac:dyDescent="0.3">
      <c r="A148" t="s">
        <v>159</v>
      </c>
      <c r="B148" t="s">
        <v>720</v>
      </c>
      <c r="C148" t="s">
        <v>827</v>
      </c>
      <c r="D148">
        <v>22</v>
      </c>
      <c r="E148" t="s">
        <v>832</v>
      </c>
      <c r="F148" t="s">
        <v>837</v>
      </c>
      <c r="G148">
        <v>81</v>
      </c>
      <c r="H148">
        <v>5.5</v>
      </c>
      <c r="I148">
        <v>68</v>
      </c>
      <c r="J148">
        <v>77</v>
      </c>
      <c r="K148">
        <v>91</v>
      </c>
      <c r="L148">
        <v>84</v>
      </c>
      <c r="M148">
        <v>81</v>
      </c>
      <c r="N148">
        <f>SUM(Table1[[#This Row],[Math_Marks]:[Social_Marks]])</f>
        <v>401</v>
      </c>
      <c r="O148">
        <f>AVERAGE(Table1[[#This Row],[Math_Marks]:[Social_Marks]])</f>
        <v>80.2</v>
      </c>
      <c r="P148" t="str">
        <f>IF(Table1[[#This Row],[Total_Marks]]&gt;=400,"Top Performer","Need Improvement")</f>
        <v>Top Performer</v>
      </c>
      <c r="Q148" t="str">
        <f>IF(Table1[[#This Row],[Total_Marks]]&gt;=400,"Excellent",IF(Table1[[#This Row],[Total_Marks]]&gt;=300,"Good",IF(Table1[[#This Row],[Total_Marks]]&gt;=200,"Average","Below Average")))</f>
        <v>Excellent</v>
      </c>
    </row>
    <row r="149" spans="1:17" x14ac:dyDescent="0.3">
      <c r="A149" t="s">
        <v>160</v>
      </c>
      <c r="B149" t="s">
        <v>689</v>
      </c>
      <c r="C149" t="s">
        <v>827</v>
      </c>
      <c r="D149">
        <v>21</v>
      </c>
      <c r="E149" t="s">
        <v>834</v>
      </c>
      <c r="F149" t="s">
        <v>842</v>
      </c>
      <c r="G149">
        <v>79</v>
      </c>
      <c r="H149">
        <v>3.7</v>
      </c>
      <c r="I149">
        <v>58</v>
      </c>
      <c r="J149">
        <v>68</v>
      </c>
      <c r="K149">
        <v>87</v>
      </c>
      <c r="L149">
        <v>50</v>
      </c>
      <c r="M149">
        <v>66</v>
      </c>
      <c r="N149">
        <f>SUM(Table1[[#This Row],[Math_Marks]:[Social_Marks]])</f>
        <v>329</v>
      </c>
      <c r="O149">
        <f>AVERAGE(Table1[[#This Row],[Math_Marks]:[Social_Marks]])</f>
        <v>65.8</v>
      </c>
      <c r="P149" t="str">
        <f>IF(Table1[[#This Row],[Total_Marks]]&gt;=400,"Top Performer","Need Improvement")</f>
        <v>Need Improvement</v>
      </c>
      <c r="Q149" t="str">
        <f>IF(Table1[[#This Row],[Total_Marks]]&gt;=400,"Excellent",IF(Table1[[#This Row],[Total_Marks]]&gt;=300,"Good",IF(Table1[[#This Row],[Total_Marks]]&gt;=200,"Average","Below Average")))</f>
        <v>Good</v>
      </c>
    </row>
    <row r="150" spans="1:17" x14ac:dyDescent="0.3">
      <c r="A150" t="s">
        <v>161</v>
      </c>
      <c r="B150" t="s">
        <v>721</v>
      </c>
      <c r="C150" t="s">
        <v>827</v>
      </c>
      <c r="D150">
        <v>21</v>
      </c>
      <c r="E150" t="s">
        <v>833</v>
      </c>
      <c r="F150" t="s">
        <v>837</v>
      </c>
      <c r="G150">
        <v>88</v>
      </c>
      <c r="H150">
        <v>5.6</v>
      </c>
      <c r="I150">
        <v>83</v>
      </c>
      <c r="J150">
        <v>55</v>
      </c>
      <c r="K150">
        <v>87</v>
      </c>
      <c r="L150">
        <v>77</v>
      </c>
      <c r="M150">
        <v>83</v>
      </c>
      <c r="N150">
        <f>SUM(Table1[[#This Row],[Math_Marks]:[Social_Marks]])</f>
        <v>385</v>
      </c>
      <c r="O150">
        <f>AVERAGE(Table1[[#This Row],[Math_Marks]:[Social_Marks]])</f>
        <v>77</v>
      </c>
      <c r="P150" t="str">
        <f>IF(Table1[[#This Row],[Total_Marks]]&gt;=400,"Top Performer","Need Improvement")</f>
        <v>Need Improvement</v>
      </c>
      <c r="Q150" t="str">
        <f>IF(Table1[[#This Row],[Total_Marks]]&gt;=400,"Excellent",IF(Table1[[#This Row],[Total_Marks]]&gt;=300,"Good",IF(Table1[[#This Row],[Total_Marks]]&gt;=200,"Average","Below Average")))</f>
        <v>Good</v>
      </c>
    </row>
    <row r="151" spans="1:17" x14ac:dyDescent="0.3">
      <c r="A151" t="s">
        <v>162</v>
      </c>
      <c r="B151" t="s">
        <v>722</v>
      </c>
      <c r="C151" t="s">
        <v>828</v>
      </c>
      <c r="D151">
        <v>20</v>
      </c>
      <c r="E151" t="s">
        <v>830</v>
      </c>
      <c r="F151" t="s">
        <v>835</v>
      </c>
      <c r="G151">
        <v>81</v>
      </c>
      <c r="H151">
        <v>4.2</v>
      </c>
      <c r="I151">
        <v>59</v>
      </c>
      <c r="J151">
        <v>81</v>
      </c>
      <c r="K151">
        <v>73</v>
      </c>
      <c r="L151">
        <v>72</v>
      </c>
      <c r="M151">
        <v>61</v>
      </c>
      <c r="N151">
        <f>SUM(Table1[[#This Row],[Math_Marks]:[Social_Marks]])</f>
        <v>346</v>
      </c>
      <c r="O151">
        <f>AVERAGE(Table1[[#This Row],[Math_Marks]:[Social_Marks]])</f>
        <v>69.2</v>
      </c>
      <c r="P151" t="str">
        <f>IF(Table1[[#This Row],[Total_Marks]]&gt;=400,"Top Performer","Need Improvement")</f>
        <v>Need Improvement</v>
      </c>
      <c r="Q151" t="str">
        <f>IF(Table1[[#This Row],[Total_Marks]]&gt;=400,"Excellent",IF(Table1[[#This Row],[Total_Marks]]&gt;=300,"Good",IF(Table1[[#This Row],[Total_Marks]]&gt;=200,"Average","Below Average")))</f>
        <v>Good</v>
      </c>
    </row>
    <row r="152" spans="1:17" x14ac:dyDescent="0.3">
      <c r="A152" t="s">
        <v>163</v>
      </c>
      <c r="B152" t="s">
        <v>723</v>
      </c>
      <c r="C152" t="s">
        <v>827</v>
      </c>
      <c r="D152">
        <v>21</v>
      </c>
      <c r="E152" t="s">
        <v>834</v>
      </c>
      <c r="F152" t="s">
        <v>842</v>
      </c>
      <c r="G152">
        <v>87</v>
      </c>
      <c r="H152">
        <v>1.6</v>
      </c>
      <c r="I152">
        <v>56</v>
      </c>
      <c r="J152">
        <v>66</v>
      </c>
      <c r="K152">
        <v>55</v>
      </c>
      <c r="L152">
        <v>51</v>
      </c>
      <c r="M152">
        <v>53</v>
      </c>
      <c r="N152">
        <f>SUM(Table1[[#This Row],[Math_Marks]:[Social_Marks]])</f>
        <v>281</v>
      </c>
      <c r="O152">
        <f>AVERAGE(Table1[[#This Row],[Math_Marks]:[Social_Marks]])</f>
        <v>56.2</v>
      </c>
      <c r="P152" t="str">
        <f>IF(Table1[[#This Row],[Total_Marks]]&gt;=400,"Top Performer","Need Improvement")</f>
        <v>Need Improvement</v>
      </c>
      <c r="Q152" t="str">
        <f>IF(Table1[[#This Row],[Total_Marks]]&gt;=400,"Excellent",IF(Table1[[#This Row],[Total_Marks]]&gt;=300,"Good",IF(Table1[[#This Row],[Total_Marks]]&gt;=200,"Average","Below Average")))</f>
        <v>Average</v>
      </c>
    </row>
    <row r="153" spans="1:17" x14ac:dyDescent="0.3">
      <c r="A153" t="s">
        <v>164</v>
      </c>
      <c r="B153" t="s">
        <v>713</v>
      </c>
      <c r="C153" t="s">
        <v>828</v>
      </c>
      <c r="D153">
        <v>19</v>
      </c>
      <c r="E153" t="s">
        <v>834</v>
      </c>
      <c r="F153" t="s">
        <v>837</v>
      </c>
      <c r="G153">
        <v>79</v>
      </c>
      <c r="H153">
        <v>1.4</v>
      </c>
      <c r="I153">
        <v>43</v>
      </c>
      <c r="J153">
        <v>63</v>
      </c>
      <c r="K153">
        <v>58</v>
      </c>
      <c r="L153">
        <v>76</v>
      </c>
      <c r="M153">
        <v>48</v>
      </c>
      <c r="N153">
        <f>SUM(Table1[[#This Row],[Math_Marks]:[Social_Marks]])</f>
        <v>288</v>
      </c>
      <c r="O153">
        <f>AVERAGE(Table1[[#This Row],[Math_Marks]:[Social_Marks]])</f>
        <v>57.6</v>
      </c>
      <c r="P153" t="str">
        <f>IF(Table1[[#This Row],[Total_Marks]]&gt;=400,"Top Performer","Need Improvement")</f>
        <v>Need Improvement</v>
      </c>
      <c r="Q153" t="str">
        <f>IF(Table1[[#This Row],[Total_Marks]]&gt;=400,"Excellent",IF(Table1[[#This Row],[Total_Marks]]&gt;=300,"Good",IF(Table1[[#This Row],[Total_Marks]]&gt;=200,"Average","Below Average")))</f>
        <v>Average</v>
      </c>
    </row>
    <row r="154" spans="1:17" x14ac:dyDescent="0.3">
      <c r="A154" t="s">
        <v>165</v>
      </c>
      <c r="B154" t="s">
        <v>724</v>
      </c>
      <c r="C154" t="s">
        <v>827</v>
      </c>
      <c r="D154">
        <v>18</v>
      </c>
      <c r="E154" t="s">
        <v>829</v>
      </c>
      <c r="F154" t="s">
        <v>840</v>
      </c>
      <c r="G154">
        <v>75</v>
      </c>
      <c r="H154">
        <v>4.0999999999999996</v>
      </c>
      <c r="I154">
        <v>66</v>
      </c>
      <c r="J154">
        <v>58</v>
      </c>
      <c r="K154">
        <v>63</v>
      </c>
      <c r="L154">
        <v>51</v>
      </c>
      <c r="M154">
        <v>65</v>
      </c>
      <c r="N154">
        <f>SUM(Table1[[#This Row],[Math_Marks]:[Social_Marks]])</f>
        <v>303</v>
      </c>
      <c r="O154">
        <f>AVERAGE(Table1[[#This Row],[Math_Marks]:[Social_Marks]])</f>
        <v>60.6</v>
      </c>
      <c r="P154" t="str">
        <f>IF(Table1[[#This Row],[Total_Marks]]&gt;=400,"Top Performer","Need Improvement")</f>
        <v>Need Improvement</v>
      </c>
      <c r="Q154" t="str">
        <f>IF(Table1[[#This Row],[Total_Marks]]&gt;=400,"Excellent",IF(Table1[[#This Row],[Total_Marks]]&gt;=300,"Good",IF(Table1[[#This Row],[Total_Marks]]&gt;=200,"Average","Below Average")))</f>
        <v>Good</v>
      </c>
    </row>
    <row r="155" spans="1:17" x14ac:dyDescent="0.3">
      <c r="A155" t="s">
        <v>166</v>
      </c>
      <c r="B155" t="s">
        <v>725</v>
      </c>
      <c r="C155" t="s">
        <v>828</v>
      </c>
      <c r="D155">
        <v>19</v>
      </c>
      <c r="E155" t="s">
        <v>834</v>
      </c>
      <c r="F155" t="s">
        <v>842</v>
      </c>
      <c r="G155">
        <v>90</v>
      </c>
      <c r="H155">
        <v>4.3</v>
      </c>
      <c r="I155">
        <v>61</v>
      </c>
      <c r="J155">
        <v>51</v>
      </c>
      <c r="K155">
        <v>55</v>
      </c>
      <c r="L155">
        <v>59</v>
      </c>
      <c r="M155">
        <v>73</v>
      </c>
      <c r="N155">
        <f>SUM(Table1[[#This Row],[Math_Marks]:[Social_Marks]])</f>
        <v>299</v>
      </c>
      <c r="O155">
        <f>AVERAGE(Table1[[#This Row],[Math_Marks]:[Social_Marks]])</f>
        <v>59.8</v>
      </c>
      <c r="P155" t="str">
        <f>IF(Table1[[#This Row],[Total_Marks]]&gt;=400,"Top Performer","Need Improvement")</f>
        <v>Need Improvement</v>
      </c>
      <c r="Q155" t="str">
        <f>IF(Table1[[#This Row],[Total_Marks]]&gt;=400,"Excellent",IF(Table1[[#This Row],[Total_Marks]]&gt;=300,"Good",IF(Table1[[#This Row],[Total_Marks]]&gt;=200,"Average","Below Average")))</f>
        <v>Average</v>
      </c>
    </row>
    <row r="156" spans="1:17" x14ac:dyDescent="0.3">
      <c r="A156" t="s">
        <v>167</v>
      </c>
      <c r="B156" t="s">
        <v>636</v>
      </c>
      <c r="C156" t="s">
        <v>827</v>
      </c>
      <c r="D156">
        <v>22</v>
      </c>
      <c r="E156" t="s">
        <v>829</v>
      </c>
      <c r="F156" t="s">
        <v>835</v>
      </c>
      <c r="G156">
        <v>84</v>
      </c>
      <c r="H156">
        <v>3.6</v>
      </c>
      <c r="I156">
        <v>66</v>
      </c>
      <c r="J156">
        <v>57</v>
      </c>
      <c r="K156">
        <v>59</v>
      </c>
      <c r="L156">
        <v>66</v>
      </c>
      <c r="M156">
        <v>60</v>
      </c>
      <c r="N156">
        <f>SUM(Table1[[#This Row],[Math_Marks]:[Social_Marks]])</f>
        <v>308</v>
      </c>
      <c r="O156">
        <f>AVERAGE(Table1[[#This Row],[Math_Marks]:[Social_Marks]])</f>
        <v>61.6</v>
      </c>
      <c r="P156" t="str">
        <f>IF(Table1[[#This Row],[Total_Marks]]&gt;=400,"Top Performer","Need Improvement")</f>
        <v>Need Improvement</v>
      </c>
      <c r="Q156" t="str">
        <f>IF(Table1[[#This Row],[Total_Marks]]&gt;=400,"Excellent",IF(Table1[[#This Row],[Total_Marks]]&gt;=300,"Good",IF(Table1[[#This Row],[Total_Marks]]&gt;=200,"Average","Below Average")))</f>
        <v>Good</v>
      </c>
    </row>
    <row r="157" spans="1:17" x14ac:dyDescent="0.3">
      <c r="A157" t="s">
        <v>168</v>
      </c>
      <c r="B157" t="s">
        <v>712</v>
      </c>
      <c r="C157" t="s">
        <v>828</v>
      </c>
      <c r="D157">
        <v>21</v>
      </c>
      <c r="E157" t="s">
        <v>834</v>
      </c>
      <c r="F157" t="s">
        <v>836</v>
      </c>
      <c r="G157">
        <v>66</v>
      </c>
      <c r="H157">
        <v>4.0999999999999996</v>
      </c>
      <c r="I157">
        <v>50</v>
      </c>
      <c r="J157">
        <v>55</v>
      </c>
      <c r="K157">
        <v>35</v>
      </c>
      <c r="L157">
        <v>56</v>
      </c>
      <c r="M157">
        <v>69</v>
      </c>
      <c r="N157">
        <f>SUM(Table1[[#This Row],[Math_Marks]:[Social_Marks]])</f>
        <v>265</v>
      </c>
      <c r="O157">
        <f>AVERAGE(Table1[[#This Row],[Math_Marks]:[Social_Marks]])</f>
        <v>53</v>
      </c>
      <c r="P157" t="str">
        <f>IF(Table1[[#This Row],[Total_Marks]]&gt;=400,"Top Performer","Need Improvement")</f>
        <v>Need Improvement</v>
      </c>
      <c r="Q157" t="str">
        <f>IF(Table1[[#This Row],[Total_Marks]]&gt;=400,"Excellent",IF(Table1[[#This Row],[Total_Marks]]&gt;=300,"Good",IF(Table1[[#This Row],[Total_Marks]]&gt;=200,"Average","Below Average")))</f>
        <v>Average</v>
      </c>
    </row>
    <row r="158" spans="1:17" x14ac:dyDescent="0.3">
      <c r="A158" t="s">
        <v>169</v>
      </c>
      <c r="B158" t="s">
        <v>726</v>
      </c>
      <c r="C158" t="s">
        <v>827</v>
      </c>
      <c r="D158">
        <v>19</v>
      </c>
      <c r="E158" t="s">
        <v>830</v>
      </c>
      <c r="F158" t="s">
        <v>836</v>
      </c>
      <c r="G158">
        <v>80</v>
      </c>
      <c r="H158">
        <v>2.9</v>
      </c>
      <c r="I158">
        <v>49</v>
      </c>
      <c r="J158">
        <v>43</v>
      </c>
      <c r="K158">
        <v>36</v>
      </c>
      <c r="L158">
        <v>45</v>
      </c>
      <c r="M158">
        <v>40</v>
      </c>
      <c r="N158">
        <f>SUM(Table1[[#This Row],[Math_Marks]:[Social_Marks]])</f>
        <v>213</v>
      </c>
      <c r="O158">
        <f>AVERAGE(Table1[[#This Row],[Math_Marks]:[Social_Marks]])</f>
        <v>42.6</v>
      </c>
      <c r="P158" t="str">
        <f>IF(Table1[[#This Row],[Total_Marks]]&gt;=400,"Top Performer","Need Improvement")</f>
        <v>Need Improvement</v>
      </c>
      <c r="Q158" t="str">
        <f>IF(Table1[[#This Row],[Total_Marks]]&gt;=400,"Excellent",IF(Table1[[#This Row],[Total_Marks]]&gt;=300,"Good",IF(Table1[[#This Row],[Total_Marks]]&gt;=200,"Average","Below Average")))</f>
        <v>Average</v>
      </c>
    </row>
    <row r="159" spans="1:17" x14ac:dyDescent="0.3">
      <c r="A159" t="s">
        <v>170</v>
      </c>
      <c r="B159" t="s">
        <v>727</v>
      </c>
      <c r="C159" t="s">
        <v>828</v>
      </c>
      <c r="D159">
        <v>19</v>
      </c>
      <c r="E159" t="s">
        <v>832</v>
      </c>
      <c r="F159" t="s">
        <v>836</v>
      </c>
      <c r="G159">
        <v>91</v>
      </c>
      <c r="H159">
        <v>1.7</v>
      </c>
      <c r="I159">
        <v>69</v>
      </c>
      <c r="J159">
        <v>62</v>
      </c>
      <c r="K159">
        <v>54</v>
      </c>
      <c r="L159">
        <v>46</v>
      </c>
      <c r="M159">
        <v>49</v>
      </c>
      <c r="N159">
        <f>SUM(Table1[[#This Row],[Math_Marks]:[Social_Marks]])</f>
        <v>280</v>
      </c>
      <c r="O159">
        <f>AVERAGE(Table1[[#This Row],[Math_Marks]:[Social_Marks]])</f>
        <v>56</v>
      </c>
      <c r="P159" t="str">
        <f>IF(Table1[[#This Row],[Total_Marks]]&gt;=400,"Top Performer","Need Improvement")</f>
        <v>Need Improvement</v>
      </c>
      <c r="Q159" t="str">
        <f>IF(Table1[[#This Row],[Total_Marks]]&gt;=400,"Excellent",IF(Table1[[#This Row],[Total_Marks]]&gt;=300,"Good",IF(Table1[[#This Row],[Total_Marks]]&gt;=200,"Average","Below Average")))</f>
        <v>Average</v>
      </c>
    </row>
    <row r="160" spans="1:17" x14ac:dyDescent="0.3">
      <c r="A160" t="s">
        <v>171</v>
      </c>
      <c r="B160" t="s">
        <v>728</v>
      </c>
      <c r="C160" t="s">
        <v>827</v>
      </c>
      <c r="D160">
        <v>20</v>
      </c>
      <c r="E160" t="s">
        <v>830</v>
      </c>
      <c r="F160" t="s">
        <v>840</v>
      </c>
      <c r="G160">
        <v>81</v>
      </c>
      <c r="H160">
        <v>3.5</v>
      </c>
      <c r="I160">
        <v>49</v>
      </c>
      <c r="J160">
        <v>60</v>
      </c>
      <c r="K160">
        <v>42</v>
      </c>
      <c r="L160">
        <v>51</v>
      </c>
      <c r="M160">
        <v>46</v>
      </c>
      <c r="N160">
        <f>SUM(Table1[[#This Row],[Math_Marks]:[Social_Marks]])</f>
        <v>248</v>
      </c>
      <c r="O160">
        <f>AVERAGE(Table1[[#This Row],[Math_Marks]:[Social_Marks]])</f>
        <v>49.6</v>
      </c>
      <c r="P160" t="str">
        <f>IF(Table1[[#This Row],[Total_Marks]]&gt;=400,"Top Performer","Need Improvement")</f>
        <v>Need Improvement</v>
      </c>
      <c r="Q160" t="str">
        <f>IF(Table1[[#This Row],[Total_Marks]]&gt;=400,"Excellent",IF(Table1[[#This Row],[Total_Marks]]&gt;=300,"Good",IF(Table1[[#This Row],[Total_Marks]]&gt;=200,"Average","Below Average")))</f>
        <v>Average</v>
      </c>
    </row>
    <row r="161" spans="1:17" x14ac:dyDescent="0.3">
      <c r="A161" t="s">
        <v>172</v>
      </c>
      <c r="B161" t="s">
        <v>716</v>
      </c>
      <c r="C161" t="s">
        <v>828</v>
      </c>
      <c r="D161">
        <v>21</v>
      </c>
      <c r="E161" t="s">
        <v>833</v>
      </c>
      <c r="F161" t="s">
        <v>836</v>
      </c>
      <c r="G161">
        <v>86</v>
      </c>
      <c r="H161">
        <v>1.8</v>
      </c>
      <c r="I161">
        <v>56</v>
      </c>
      <c r="J161">
        <v>57</v>
      </c>
      <c r="K161">
        <v>64</v>
      </c>
      <c r="L161">
        <v>58</v>
      </c>
      <c r="M161">
        <v>69</v>
      </c>
      <c r="N161">
        <f>SUM(Table1[[#This Row],[Math_Marks]:[Social_Marks]])</f>
        <v>304</v>
      </c>
      <c r="O161">
        <f>AVERAGE(Table1[[#This Row],[Math_Marks]:[Social_Marks]])</f>
        <v>60.8</v>
      </c>
      <c r="P161" t="str">
        <f>IF(Table1[[#This Row],[Total_Marks]]&gt;=400,"Top Performer","Need Improvement")</f>
        <v>Need Improvement</v>
      </c>
      <c r="Q161" t="str">
        <f>IF(Table1[[#This Row],[Total_Marks]]&gt;=400,"Excellent",IF(Table1[[#This Row],[Total_Marks]]&gt;=300,"Good",IF(Table1[[#This Row],[Total_Marks]]&gt;=200,"Average","Below Average")))</f>
        <v>Good</v>
      </c>
    </row>
    <row r="162" spans="1:17" x14ac:dyDescent="0.3">
      <c r="A162" t="s">
        <v>173</v>
      </c>
      <c r="B162" t="s">
        <v>729</v>
      </c>
      <c r="C162" t="s">
        <v>827</v>
      </c>
      <c r="D162">
        <v>18</v>
      </c>
      <c r="E162" t="s">
        <v>831</v>
      </c>
      <c r="F162" t="s">
        <v>842</v>
      </c>
      <c r="G162">
        <v>76</v>
      </c>
      <c r="H162">
        <v>5.4</v>
      </c>
      <c r="I162">
        <v>87</v>
      </c>
      <c r="J162">
        <v>92</v>
      </c>
      <c r="K162">
        <v>65</v>
      </c>
      <c r="L162">
        <v>74</v>
      </c>
      <c r="M162">
        <v>64</v>
      </c>
      <c r="N162">
        <f>SUM(Table1[[#This Row],[Math_Marks]:[Social_Marks]])</f>
        <v>382</v>
      </c>
      <c r="O162">
        <f>AVERAGE(Table1[[#This Row],[Math_Marks]:[Social_Marks]])</f>
        <v>76.400000000000006</v>
      </c>
      <c r="P162" t="str">
        <f>IF(Table1[[#This Row],[Total_Marks]]&gt;=400,"Top Performer","Need Improvement")</f>
        <v>Need Improvement</v>
      </c>
      <c r="Q162" t="str">
        <f>IF(Table1[[#This Row],[Total_Marks]]&gt;=400,"Excellent",IF(Table1[[#This Row],[Total_Marks]]&gt;=300,"Good",IF(Table1[[#This Row],[Total_Marks]]&gt;=200,"Average","Below Average")))</f>
        <v>Good</v>
      </c>
    </row>
    <row r="163" spans="1:17" x14ac:dyDescent="0.3">
      <c r="A163" t="s">
        <v>174</v>
      </c>
      <c r="B163" t="s">
        <v>730</v>
      </c>
      <c r="C163" t="s">
        <v>828</v>
      </c>
      <c r="D163">
        <v>21</v>
      </c>
      <c r="E163" t="s">
        <v>834</v>
      </c>
      <c r="F163" t="s">
        <v>838</v>
      </c>
      <c r="G163">
        <v>72</v>
      </c>
      <c r="H163">
        <v>3.6</v>
      </c>
      <c r="I163">
        <v>59</v>
      </c>
      <c r="J163">
        <v>45</v>
      </c>
      <c r="K163">
        <v>75</v>
      </c>
      <c r="L163">
        <v>49</v>
      </c>
      <c r="M163">
        <v>53</v>
      </c>
      <c r="N163">
        <f>SUM(Table1[[#This Row],[Math_Marks]:[Social_Marks]])</f>
        <v>281</v>
      </c>
      <c r="O163">
        <f>AVERAGE(Table1[[#This Row],[Math_Marks]:[Social_Marks]])</f>
        <v>56.2</v>
      </c>
      <c r="P163" t="str">
        <f>IF(Table1[[#This Row],[Total_Marks]]&gt;=400,"Top Performer","Need Improvement")</f>
        <v>Need Improvement</v>
      </c>
      <c r="Q163" t="str">
        <f>IF(Table1[[#This Row],[Total_Marks]]&gt;=400,"Excellent",IF(Table1[[#This Row],[Total_Marks]]&gt;=300,"Good",IF(Table1[[#This Row],[Total_Marks]]&gt;=200,"Average","Below Average")))</f>
        <v>Average</v>
      </c>
    </row>
    <row r="164" spans="1:17" x14ac:dyDescent="0.3">
      <c r="A164" t="s">
        <v>175</v>
      </c>
      <c r="B164" t="s">
        <v>633</v>
      </c>
      <c r="C164" t="s">
        <v>828</v>
      </c>
      <c r="D164">
        <v>18</v>
      </c>
      <c r="E164" t="s">
        <v>829</v>
      </c>
      <c r="F164" t="s">
        <v>841</v>
      </c>
      <c r="G164">
        <v>84</v>
      </c>
      <c r="H164">
        <v>1.8</v>
      </c>
      <c r="I164">
        <v>49</v>
      </c>
      <c r="J164">
        <v>70</v>
      </c>
      <c r="K164">
        <v>65</v>
      </c>
      <c r="L164">
        <v>59</v>
      </c>
      <c r="M164">
        <v>39</v>
      </c>
      <c r="N164">
        <f>SUM(Table1[[#This Row],[Math_Marks]:[Social_Marks]])</f>
        <v>282</v>
      </c>
      <c r="O164">
        <f>AVERAGE(Table1[[#This Row],[Math_Marks]:[Social_Marks]])</f>
        <v>56.4</v>
      </c>
      <c r="P164" t="str">
        <f>IF(Table1[[#This Row],[Total_Marks]]&gt;=400,"Top Performer","Need Improvement")</f>
        <v>Need Improvement</v>
      </c>
      <c r="Q164" t="str">
        <f>IF(Table1[[#This Row],[Total_Marks]]&gt;=400,"Excellent",IF(Table1[[#This Row],[Total_Marks]]&gt;=300,"Good",IF(Table1[[#This Row],[Total_Marks]]&gt;=200,"Average","Below Average")))</f>
        <v>Average</v>
      </c>
    </row>
    <row r="165" spans="1:17" x14ac:dyDescent="0.3">
      <c r="A165" t="s">
        <v>176</v>
      </c>
      <c r="B165" t="s">
        <v>632</v>
      </c>
      <c r="C165" t="s">
        <v>828</v>
      </c>
      <c r="D165">
        <v>20</v>
      </c>
      <c r="E165" t="s">
        <v>829</v>
      </c>
      <c r="F165" t="s">
        <v>839</v>
      </c>
      <c r="G165">
        <v>91</v>
      </c>
      <c r="H165">
        <v>1.4</v>
      </c>
      <c r="I165">
        <v>67</v>
      </c>
      <c r="J165">
        <v>45</v>
      </c>
      <c r="K165">
        <v>59</v>
      </c>
      <c r="L165">
        <v>61</v>
      </c>
      <c r="M165">
        <v>56</v>
      </c>
      <c r="N165">
        <f>SUM(Table1[[#This Row],[Math_Marks]:[Social_Marks]])</f>
        <v>288</v>
      </c>
      <c r="O165">
        <f>AVERAGE(Table1[[#This Row],[Math_Marks]:[Social_Marks]])</f>
        <v>57.6</v>
      </c>
      <c r="P165" t="str">
        <f>IF(Table1[[#This Row],[Total_Marks]]&gt;=400,"Top Performer","Need Improvement")</f>
        <v>Need Improvement</v>
      </c>
      <c r="Q165" t="str">
        <f>IF(Table1[[#This Row],[Total_Marks]]&gt;=400,"Excellent",IF(Table1[[#This Row],[Total_Marks]]&gt;=300,"Good",IF(Table1[[#This Row],[Total_Marks]]&gt;=200,"Average","Below Average")))</f>
        <v>Average</v>
      </c>
    </row>
    <row r="166" spans="1:17" x14ac:dyDescent="0.3">
      <c r="A166" t="s">
        <v>177</v>
      </c>
      <c r="B166" t="s">
        <v>731</v>
      </c>
      <c r="C166" t="s">
        <v>828</v>
      </c>
      <c r="D166">
        <v>19</v>
      </c>
      <c r="E166" t="s">
        <v>833</v>
      </c>
      <c r="F166" t="s">
        <v>841</v>
      </c>
      <c r="G166">
        <v>80</v>
      </c>
      <c r="H166">
        <v>3</v>
      </c>
      <c r="I166">
        <v>57</v>
      </c>
      <c r="J166">
        <v>61</v>
      </c>
      <c r="K166">
        <v>55</v>
      </c>
      <c r="L166">
        <v>54</v>
      </c>
      <c r="M166">
        <v>58</v>
      </c>
      <c r="N166">
        <f>SUM(Table1[[#This Row],[Math_Marks]:[Social_Marks]])</f>
        <v>285</v>
      </c>
      <c r="O166">
        <f>AVERAGE(Table1[[#This Row],[Math_Marks]:[Social_Marks]])</f>
        <v>57</v>
      </c>
      <c r="P166" t="str">
        <f>IF(Table1[[#This Row],[Total_Marks]]&gt;=400,"Top Performer","Need Improvement")</f>
        <v>Need Improvement</v>
      </c>
      <c r="Q166" t="str">
        <f>IF(Table1[[#This Row],[Total_Marks]]&gt;=400,"Excellent",IF(Table1[[#This Row],[Total_Marks]]&gt;=300,"Good",IF(Table1[[#This Row],[Total_Marks]]&gt;=200,"Average","Below Average")))</f>
        <v>Average</v>
      </c>
    </row>
    <row r="167" spans="1:17" x14ac:dyDescent="0.3">
      <c r="A167" t="s">
        <v>178</v>
      </c>
      <c r="B167" t="s">
        <v>732</v>
      </c>
      <c r="C167" t="s">
        <v>827</v>
      </c>
      <c r="D167">
        <v>22</v>
      </c>
      <c r="E167" t="s">
        <v>831</v>
      </c>
      <c r="F167" t="s">
        <v>841</v>
      </c>
      <c r="G167">
        <v>82</v>
      </c>
      <c r="H167">
        <v>5.2</v>
      </c>
      <c r="I167">
        <v>40</v>
      </c>
      <c r="J167">
        <v>58</v>
      </c>
      <c r="K167">
        <v>56</v>
      </c>
      <c r="L167">
        <v>58</v>
      </c>
      <c r="M167">
        <v>52</v>
      </c>
      <c r="N167">
        <f>SUM(Table1[[#This Row],[Math_Marks]:[Social_Marks]])</f>
        <v>264</v>
      </c>
      <c r="O167">
        <f>AVERAGE(Table1[[#This Row],[Math_Marks]:[Social_Marks]])</f>
        <v>52.8</v>
      </c>
      <c r="P167" t="str">
        <f>IF(Table1[[#This Row],[Total_Marks]]&gt;=400,"Top Performer","Need Improvement")</f>
        <v>Need Improvement</v>
      </c>
      <c r="Q167" t="str">
        <f>IF(Table1[[#This Row],[Total_Marks]]&gt;=400,"Excellent",IF(Table1[[#This Row],[Total_Marks]]&gt;=300,"Good",IF(Table1[[#This Row],[Total_Marks]]&gt;=200,"Average","Below Average")))</f>
        <v>Average</v>
      </c>
    </row>
    <row r="168" spans="1:17" x14ac:dyDescent="0.3">
      <c r="A168" t="s">
        <v>179</v>
      </c>
      <c r="B168" t="s">
        <v>645</v>
      </c>
      <c r="C168" t="s">
        <v>828</v>
      </c>
      <c r="D168">
        <v>18</v>
      </c>
      <c r="E168" t="s">
        <v>831</v>
      </c>
      <c r="F168" t="s">
        <v>841</v>
      </c>
      <c r="G168">
        <v>79</v>
      </c>
      <c r="H168">
        <v>1</v>
      </c>
      <c r="I168">
        <v>68</v>
      </c>
      <c r="J168">
        <v>63</v>
      </c>
      <c r="K168">
        <v>51</v>
      </c>
      <c r="L168">
        <v>63</v>
      </c>
      <c r="M168">
        <v>65</v>
      </c>
      <c r="N168">
        <f>SUM(Table1[[#This Row],[Math_Marks]:[Social_Marks]])</f>
        <v>310</v>
      </c>
      <c r="O168">
        <f>AVERAGE(Table1[[#This Row],[Math_Marks]:[Social_Marks]])</f>
        <v>62</v>
      </c>
      <c r="P168" t="str">
        <f>IF(Table1[[#This Row],[Total_Marks]]&gt;=400,"Top Performer","Need Improvement")</f>
        <v>Need Improvement</v>
      </c>
      <c r="Q168" t="str">
        <f>IF(Table1[[#This Row],[Total_Marks]]&gt;=400,"Excellent",IF(Table1[[#This Row],[Total_Marks]]&gt;=300,"Good",IF(Table1[[#This Row],[Total_Marks]]&gt;=200,"Average","Below Average")))</f>
        <v>Good</v>
      </c>
    </row>
    <row r="169" spans="1:17" x14ac:dyDescent="0.3">
      <c r="A169" t="s">
        <v>180</v>
      </c>
      <c r="B169" t="s">
        <v>707</v>
      </c>
      <c r="C169" t="s">
        <v>827</v>
      </c>
      <c r="D169">
        <v>22</v>
      </c>
      <c r="E169" t="s">
        <v>831</v>
      </c>
      <c r="F169" t="s">
        <v>840</v>
      </c>
      <c r="G169">
        <v>88</v>
      </c>
      <c r="H169">
        <v>3.9</v>
      </c>
      <c r="I169">
        <v>61</v>
      </c>
      <c r="J169">
        <v>63</v>
      </c>
      <c r="K169">
        <v>59</v>
      </c>
      <c r="L169">
        <v>60</v>
      </c>
      <c r="M169">
        <v>56</v>
      </c>
      <c r="N169">
        <f>SUM(Table1[[#This Row],[Math_Marks]:[Social_Marks]])</f>
        <v>299</v>
      </c>
      <c r="O169">
        <f>AVERAGE(Table1[[#This Row],[Math_Marks]:[Social_Marks]])</f>
        <v>59.8</v>
      </c>
      <c r="P169" t="str">
        <f>IF(Table1[[#This Row],[Total_Marks]]&gt;=400,"Top Performer","Need Improvement")</f>
        <v>Need Improvement</v>
      </c>
      <c r="Q169" t="str">
        <f>IF(Table1[[#This Row],[Total_Marks]]&gt;=400,"Excellent",IF(Table1[[#This Row],[Total_Marks]]&gt;=300,"Good",IF(Table1[[#This Row],[Total_Marks]]&gt;=200,"Average","Below Average")))</f>
        <v>Average</v>
      </c>
    </row>
    <row r="170" spans="1:17" x14ac:dyDescent="0.3">
      <c r="A170" t="s">
        <v>181</v>
      </c>
      <c r="B170" t="s">
        <v>731</v>
      </c>
      <c r="C170" t="s">
        <v>828</v>
      </c>
      <c r="D170">
        <v>20</v>
      </c>
      <c r="E170" t="s">
        <v>829</v>
      </c>
      <c r="F170" t="s">
        <v>842</v>
      </c>
      <c r="G170">
        <v>82</v>
      </c>
      <c r="H170">
        <v>5.0999999999999996</v>
      </c>
      <c r="I170">
        <v>48</v>
      </c>
      <c r="J170">
        <v>43</v>
      </c>
      <c r="K170">
        <v>59</v>
      </c>
      <c r="L170">
        <v>50</v>
      </c>
      <c r="M170">
        <v>56</v>
      </c>
      <c r="N170">
        <f>SUM(Table1[[#This Row],[Math_Marks]:[Social_Marks]])</f>
        <v>256</v>
      </c>
      <c r="O170">
        <f>AVERAGE(Table1[[#This Row],[Math_Marks]:[Social_Marks]])</f>
        <v>51.2</v>
      </c>
      <c r="P170" t="str">
        <f>IF(Table1[[#This Row],[Total_Marks]]&gt;=400,"Top Performer","Need Improvement")</f>
        <v>Need Improvement</v>
      </c>
      <c r="Q170" t="str">
        <f>IF(Table1[[#This Row],[Total_Marks]]&gt;=400,"Excellent",IF(Table1[[#This Row],[Total_Marks]]&gt;=300,"Good",IF(Table1[[#This Row],[Total_Marks]]&gt;=200,"Average","Below Average")))</f>
        <v>Average</v>
      </c>
    </row>
    <row r="171" spans="1:17" x14ac:dyDescent="0.3">
      <c r="A171" t="s">
        <v>182</v>
      </c>
      <c r="B171" t="s">
        <v>722</v>
      </c>
      <c r="C171" t="s">
        <v>828</v>
      </c>
      <c r="D171">
        <v>19</v>
      </c>
      <c r="E171" t="s">
        <v>832</v>
      </c>
      <c r="F171" t="s">
        <v>837</v>
      </c>
      <c r="G171">
        <v>79</v>
      </c>
      <c r="H171">
        <v>4.8</v>
      </c>
      <c r="I171">
        <v>65</v>
      </c>
      <c r="J171">
        <v>70</v>
      </c>
      <c r="K171">
        <v>79</v>
      </c>
      <c r="L171">
        <v>74</v>
      </c>
      <c r="M171">
        <v>60</v>
      </c>
      <c r="N171">
        <f>SUM(Table1[[#This Row],[Math_Marks]:[Social_Marks]])</f>
        <v>348</v>
      </c>
      <c r="O171">
        <f>AVERAGE(Table1[[#This Row],[Math_Marks]:[Social_Marks]])</f>
        <v>69.599999999999994</v>
      </c>
      <c r="P171" t="str">
        <f>IF(Table1[[#This Row],[Total_Marks]]&gt;=400,"Top Performer","Need Improvement")</f>
        <v>Need Improvement</v>
      </c>
      <c r="Q171" t="str">
        <f>IF(Table1[[#This Row],[Total_Marks]]&gt;=400,"Excellent",IF(Table1[[#This Row],[Total_Marks]]&gt;=300,"Good",IF(Table1[[#This Row],[Total_Marks]]&gt;=200,"Average","Below Average")))</f>
        <v>Good</v>
      </c>
    </row>
    <row r="172" spans="1:17" x14ac:dyDescent="0.3">
      <c r="A172" t="s">
        <v>183</v>
      </c>
      <c r="B172" t="s">
        <v>733</v>
      </c>
      <c r="C172" t="s">
        <v>827</v>
      </c>
      <c r="D172">
        <v>19</v>
      </c>
      <c r="E172" t="s">
        <v>829</v>
      </c>
      <c r="F172" t="s">
        <v>838</v>
      </c>
      <c r="G172">
        <v>91</v>
      </c>
      <c r="H172">
        <v>4.2</v>
      </c>
      <c r="I172">
        <v>67</v>
      </c>
      <c r="J172">
        <v>74</v>
      </c>
      <c r="K172">
        <v>66</v>
      </c>
      <c r="L172">
        <v>71</v>
      </c>
      <c r="M172">
        <v>76</v>
      </c>
      <c r="N172">
        <f>SUM(Table1[[#This Row],[Math_Marks]:[Social_Marks]])</f>
        <v>354</v>
      </c>
      <c r="O172">
        <f>AVERAGE(Table1[[#This Row],[Math_Marks]:[Social_Marks]])</f>
        <v>70.8</v>
      </c>
      <c r="P172" t="str">
        <f>IF(Table1[[#This Row],[Total_Marks]]&gt;=400,"Top Performer","Need Improvement")</f>
        <v>Need Improvement</v>
      </c>
      <c r="Q172" t="str">
        <f>IF(Table1[[#This Row],[Total_Marks]]&gt;=400,"Excellent",IF(Table1[[#This Row],[Total_Marks]]&gt;=300,"Good",IF(Table1[[#This Row],[Total_Marks]]&gt;=200,"Average","Below Average")))</f>
        <v>Good</v>
      </c>
    </row>
    <row r="173" spans="1:17" x14ac:dyDescent="0.3">
      <c r="A173" t="s">
        <v>184</v>
      </c>
      <c r="B173" t="s">
        <v>698</v>
      </c>
      <c r="C173" t="s">
        <v>828</v>
      </c>
      <c r="D173">
        <v>18</v>
      </c>
      <c r="E173" t="s">
        <v>834</v>
      </c>
      <c r="F173" t="s">
        <v>841</v>
      </c>
      <c r="G173">
        <v>72</v>
      </c>
      <c r="H173">
        <v>1.1000000000000001</v>
      </c>
      <c r="I173">
        <v>71</v>
      </c>
      <c r="J173">
        <v>68</v>
      </c>
      <c r="K173">
        <v>43</v>
      </c>
      <c r="L173">
        <v>62</v>
      </c>
      <c r="M173">
        <v>68</v>
      </c>
      <c r="N173">
        <f>SUM(Table1[[#This Row],[Math_Marks]:[Social_Marks]])</f>
        <v>312</v>
      </c>
      <c r="O173">
        <f>AVERAGE(Table1[[#This Row],[Math_Marks]:[Social_Marks]])</f>
        <v>62.4</v>
      </c>
      <c r="P173" t="str">
        <f>IF(Table1[[#This Row],[Total_Marks]]&gt;=400,"Top Performer","Need Improvement")</f>
        <v>Need Improvement</v>
      </c>
      <c r="Q173" t="str">
        <f>IF(Table1[[#This Row],[Total_Marks]]&gt;=400,"Excellent",IF(Table1[[#This Row],[Total_Marks]]&gt;=300,"Good",IF(Table1[[#This Row],[Total_Marks]]&gt;=200,"Average","Below Average")))</f>
        <v>Good</v>
      </c>
    </row>
    <row r="174" spans="1:17" x14ac:dyDescent="0.3">
      <c r="A174" t="s">
        <v>185</v>
      </c>
      <c r="B174" t="s">
        <v>734</v>
      </c>
      <c r="C174" t="s">
        <v>827</v>
      </c>
      <c r="D174">
        <v>19</v>
      </c>
      <c r="E174" t="s">
        <v>833</v>
      </c>
      <c r="F174" t="s">
        <v>839</v>
      </c>
      <c r="G174">
        <v>84</v>
      </c>
      <c r="H174">
        <v>2.2000000000000002</v>
      </c>
      <c r="I174">
        <v>47</v>
      </c>
      <c r="J174">
        <v>64</v>
      </c>
      <c r="K174">
        <v>68</v>
      </c>
      <c r="L174">
        <v>53</v>
      </c>
      <c r="M174">
        <v>51</v>
      </c>
      <c r="N174">
        <f>SUM(Table1[[#This Row],[Math_Marks]:[Social_Marks]])</f>
        <v>283</v>
      </c>
      <c r="O174">
        <f>AVERAGE(Table1[[#This Row],[Math_Marks]:[Social_Marks]])</f>
        <v>56.6</v>
      </c>
      <c r="P174" t="str">
        <f>IF(Table1[[#This Row],[Total_Marks]]&gt;=400,"Top Performer","Need Improvement")</f>
        <v>Need Improvement</v>
      </c>
      <c r="Q174" t="str">
        <f>IF(Table1[[#This Row],[Total_Marks]]&gt;=400,"Excellent",IF(Table1[[#This Row],[Total_Marks]]&gt;=300,"Good",IF(Table1[[#This Row],[Total_Marks]]&gt;=200,"Average","Below Average")))</f>
        <v>Average</v>
      </c>
    </row>
    <row r="175" spans="1:17" x14ac:dyDescent="0.3">
      <c r="A175" t="s">
        <v>186</v>
      </c>
      <c r="B175" t="s">
        <v>732</v>
      </c>
      <c r="C175" t="s">
        <v>828</v>
      </c>
      <c r="D175">
        <v>22</v>
      </c>
      <c r="E175" t="s">
        <v>833</v>
      </c>
      <c r="F175" t="s">
        <v>836</v>
      </c>
      <c r="G175">
        <v>68</v>
      </c>
      <c r="H175">
        <v>4.5</v>
      </c>
      <c r="I175">
        <v>52</v>
      </c>
      <c r="J175">
        <v>56</v>
      </c>
      <c r="K175">
        <v>69</v>
      </c>
      <c r="L175">
        <v>66</v>
      </c>
      <c r="M175">
        <v>60</v>
      </c>
      <c r="N175">
        <f>SUM(Table1[[#This Row],[Math_Marks]:[Social_Marks]])</f>
        <v>303</v>
      </c>
      <c r="O175">
        <f>AVERAGE(Table1[[#This Row],[Math_Marks]:[Social_Marks]])</f>
        <v>60.6</v>
      </c>
      <c r="P175" t="str">
        <f>IF(Table1[[#This Row],[Total_Marks]]&gt;=400,"Top Performer","Need Improvement")</f>
        <v>Need Improvement</v>
      </c>
      <c r="Q175" t="str">
        <f>IF(Table1[[#This Row],[Total_Marks]]&gt;=400,"Excellent",IF(Table1[[#This Row],[Total_Marks]]&gt;=300,"Good",IF(Table1[[#This Row],[Total_Marks]]&gt;=200,"Average","Below Average")))</f>
        <v>Good</v>
      </c>
    </row>
    <row r="176" spans="1:17" x14ac:dyDescent="0.3">
      <c r="A176" t="s">
        <v>187</v>
      </c>
      <c r="B176" t="s">
        <v>689</v>
      </c>
      <c r="C176" t="s">
        <v>827</v>
      </c>
      <c r="D176">
        <v>20</v>
      </c>
      <c r="E176" t="s">
        <v>831</v>
      </c>
      <c r="F176" t="s">
        <v>838</v>
      </c>
      <c r="G176">
        <v>83</v>
      </c>
      <c r="H176">
        <v>3.1</v>
      </c>
      <c r="I176">
        <v>58</v>
      </c>
      <c r="J176">
        <v>69</v>
      </c>
      <c r="K176">
        <v>69</v>
      </c>
      <c r="L176">
        <v>41</v>
      </c>
      <c r="M176">
        <v>74</v>
      </c>
      <c r="N176">
        <f>SUM(Table1[[#This Row],[Math_Marks]:[Social_Marks]])</f>
        <v>311</v>
      </c>
      <c r="O176">
        <f>AVERAGE(Table1[[#This Row],[Math_Marks]:[Social_Marks]])</f>
        <v>62.2</v>
      </c>
      <c r="P176" t="str">
        <f>IF(Table1[[#This Row],[Total_Marks]]&gt;=400,"Top Performer","Need Improvement")</f>
        <v>Need Improvement</v>
      </c>
      <c r="Q176" t="str">
        <f>IF(Table1[[#This Row],[Total_Marks]]&gt;=400,"Excellent",IF(Table1[[#This Row],[Total_Marks]]&gt;=300,"Good",IF(Table1[[#This Row],[Total_Marks]]&gt;=200,"Average","Below Average")))</f>
        <v>Good</v>
      </c>
    </row>
    <row r="177" spans="1:17" x14ac:dyDescent="0.3">
      <c r="A177" t="s">
        <v>188</v>
      </c>
      <c r="B177" t="s">
        <v>735</v>
      </c>
      <c r="C177" t="s">
        <v>828</v>
      </c>
      <c r="D177">
        <v>21</v>
      </c>
      <c r="E177" t="s">
        <v>829</v>
      </c>
      <c r="F177" t="s">
        <v>841</v>
      </c>
      <c r="G177">
        <v>79</v>
      </c>
      <c r="H177">
        <v>1.6</v>
      </c>
      <c r="I177">
        <v>55</v>
      </c>
      <c r="J177">
        <v>32</v>
      </c>
      <c r="K177">
        <v>56</v>
      </c>
      <c r="L177">
        <v>47</v>
      </c>
      <c r="M177">
        <v>38</v>
      </c>
      <c r="N177">
        <f>SUM(Table1[[#This Row],[Math_Marks]:[Social_Marks]])</f>
        <v>228</v>
      </c>
      <c r="O177">
        <f>AVERAGE(Table1[[#This Row],[Math_Marks]:[Social_Marks]])</f>
        <v>45.6</v>
      </c>
      <c r="P177" t="str">
        <f>IF(Table1[[#This Row],[Total_Marks]]&gt;=400,"Top Performer","Need Improvement")</f>
        <v>Need Improvement</v>
      </c>
      <c r="Q177" t="str">
        <f>IF(Table1[[#This Row],[Total_Marks]]&gt;=400,"Excellent",IF(Table1[[#This Row],[Total_Marks]]&gt;=300,"Good",IF(Table1[[#This Row],[Total_Marks]]&gt;=200,"Average","Below Average")))</f>
        <v>Average</v>
      </c>
    </row>
    <row r="178" spans="1:17" x14ac:dyDescent="0.3">
      <c r="A178" t="s">
        <v>189</v>
      </c>
      <c r="B178" t="s">
        <v>660</v>
      </c>
      <c r="C178" t="s">
        <v>828</v>
      </c>
      <c r="D178">
        <v>18</v>
      </c>
      <c r="E178" t="s">
        <v>834</v>
      </c>
      <c r="F178" t="s">
        <v>842</v>
      </c>
      <c r="G178">
        <v>88</v>
      </c>
      <c r="H178">
        <v>1.2</v>
      </c>
      <c r="I178">
        <v>45</v>
      </c>
      <c r="J178">
        <v>63</v>
      </c>
      <c r="K178">
        <v>42</v>
      </c>
      <c r="L178">
        <v>65</v>
      </c>
      <c r="M178">
        <v>52</v>
      </c>
      <c r="N178">
        <f>SUM(Table1[[#This Row],[Math_Marks]:[Social_Marks]])</f>
        <v>267</v>
      </c>
      <c r="O178">
        <f>AVERAGE(Table1[[#This Row],[Math_Marks]:[Social_Marks]])</f>
        <v>53.4</v>
      </c>
      <c r="P178" t="str">
        <f>IF(Table1[[#This Row],[Total_Marks]]&gt;=400,"Top Performer","Need Improvement")</f>
        <v>Need Improvement</v>
      </c>
      <c r="Q178" t="str">
        <f>IF(Table1[[#This Row],[Total_Marks]]&gt;=400,"Excellent",IF(Table1[[#This Row],[Total_Marks]]&gt;=300,"Good",IF(Table1[[#This Row],[Total_Marks]]&gt;=200,"Average","Below Average")))</f>
        <v>Average</v>
      </c>
    </row>
    <row r="179" spans="1:17" x14ac:dyDescent="0.3">
      <c r="A179" t="s">
        <v>190</v>
      </c>
      <c r="B179" t="s">
        <v>736</v>
      </c>
      <c r="C179" t="s">
        <v>827</v>
      </c>
      <c r="D179">
        <v>20</v>
      </c>
      <c r="E179" t="s">
        <v>832</v>
      </c>
      <c r="F179" t="s">
        <v>841</v>
      </c>
      <c r="G179">
        <v>70</v>
      </c>
      <c r="H179">
        <v>3.9</v>
      </c>
      <c r="I179">
        <v>36</v>
      </c>
      <c r="J179">
        <v>50</v>
      </c>
      <c r="K179">
        <v>39</v>
      </c>
      <c r="L179">
        <v>47</v>
      </c>
      <c r="M179">
        <v>46</v>
      </c>
      <c r="N179">
        <f>SUM(Table1[[#This Row],[Math_Marks]:[Social_Marks]])</f>
        <v>218</v>
      </c>
      <c r="O179">
        <f>AVERAGE(Table1[[#This Row],[Math_Marks]:[Social_Marks]])</f>
        <v>43.6</v>
      </c>
      <c r="P179" t="str">
        <f>IF(Table1[[#This Row],[Total_Marks]]&gt;=400,"Top Performer","Need Improvement")</f>
        <v>Need Improvement</v>
      </c>
      <c r="Q179" t="str">
        <f>IF(Table1[[#This Row],[Total_Marks]]&gt;=400,"Excellent",IF(Table1[[#This Row],[Total_Marks]]&gt;=300,"Good",IF(Table1[[#This Row],[Total_Marks]]&gt;=200,"Average","Below Average")))</f>
        <v>Average</v>
      </c>
    </row>
    <row r="180" spans="1:17" x14ac:dyDescent="0.3">
      <c r="A180" t="s">
        <v>191</v>
      </c>
      <c r="B180" t="s">
        <v>636</v>
      </c>
      <c r="C180" t="s">
        <v>827</v>
      </c>
      <c r="D180">
        <v>21</v>
      </c>
      <c r="E180" t="s">
        <v>829</v>
      </c>
      <c r="F180" t="s">
        <v>835</v>
      </c>
      <c r="G180">
        <v>84</v>
      </c>
      <c r="H180">
        <v>1.1000000000000001</v>
      </c>
      <c r="I180">
        <v>51</v>
      </c>
      <c r="J180">
        <v>41</v>
      </c>
      <c r="K180">
        <v>57</v>
      </c>
      <c r="L180">
        <v>40</v>
      </c>
      <c r="M180">
        <v>47</v>
      </c>
      <c r="N180">
        <f>SUM(Table1[[#This Row],[Math_Marks]:[Social_Marks]])</f>
        <v>236</v>
      </c>
      <c r="O180">
        <f>AVERAGE(Table1[[#This Row],[Math_Marks]:[Social_Marks]])</f>
        <v>47.2</v>
      </c>
      <c r="P180" t="str">
        <f>IF(Table1[[#This Row],[Total_Marks]]&gt;=400,"Top Performer","Need Improvement")</f>
        <v>Need Improvement</v>
      </c>
      <c r="Q180" t="str">
        <f>IF(Table1[[#This Row],[Total_Marks]]&gt;=400,"Excellent",IF(Table1[[#This Row],[Total_Marks]]&gt;=300,"Good",IF(Table1[[#This Row],[Total_Marks]]&gt;=200,"Average","Below Average")))</f>
        <v>Average</v>
      </c>
    </row>
    <row r="181" spans="1:17" x14ac:dyDescent="0.3">
      <c r="A181" t="s">
        <v>192</v>
      </c>
      <c r="B181" t="s">
        <v>737</v>
      </c>
      <c r="C181" t="s">
        <v>827</v>
      </c>
      <c r="D181">
        <v>21</v>
      </c>
      <c r="E181" t="s">
        <v>831</v>
      </c>
      <c r="F181" t="s">
        <v>839</v>
      </c>
      <c r="G181">
        <v>79</v>
      </c>
      <c r="H181">
        <v>3.4</v>
      </c>
      <c r="I181">
        <v>61</v>
      </c>
      <c r="J181">
        <v>59</v>
      </c>
      <c r="K181">
        <v>56</v>
      </c>
      <c r="L181">
        <v>53</v>
      </c>
      <c r="M181">
        <v>63</v>
      </c>
      <c r="N181">
        <f>SUM(Table1[[#This Row],[Math_Marks]:[Social_Marks]])</f>
        <v>292</v>
      </c>
      <c r="O181">
        <f>AVERAGE(Table1[[#This Row],[Math_Marks]:[Social_Marks]])</f>
        <v>58.4</v>
      </c>
      <c r="P181" t="str">
        <f>IF(Table1[[#This Row],[Total_Marks]]&gt;=400,"Top Performer","Need Improvement")</f>
        <v>Need Improvement</v>
      </c>
      <c r="Q181" t="str">
        <f>IF(Table1[[#This Row],[Total_Marks]]&gt;=400,"Excellent",IF(Table1[[#This Row],[Total_Marks]]&gt;=300,"Good",IF(Table1[[#This Row],[Total_Marks]]&gt;=200,"Average","Below Average")))</f>
        <v>Average</v>
      </c>
    </row>
    <row r="182" spans="1:17" x14ac:dyDescent="0.3">
      <c r="A182" t="s">
        <v>193</v>
      </c>
      <c r="B182" t="s">
        <v>663</v>
      </c>
      <c r="C182" t="s">
        <v>828</v>
      </c>
      <c r="D182">
        <v>20</v>
      </c>
      <c r="E182" t="s">
        <v>832</v>
      </c>
      <c r="F182" t="s">
        <v>838</v>
      </c>
      <c r="G182">
        <v>97</v>
      </c>
      <c r="H182">
        <v>1.8</v>
      </c>
      <c r="I182">
        <v>50</v>
      </c>
      <c r="J182">
        <v>67</v>
      </c>
      <c r="K182">
        <v>78</v>
      </c>
      <c r="L182">
        <v>69</v>
      </c>
      <c r="M182">
        <v>66</v>
      </c>
      <c r="N182">
        <f>SUM(Table1[[#This Row],[Math_Marks]:[Social_Marks]])</f>
        <v>330</v>
      </c>
      <c r="O182">
        <f>AVERAGE(Table1[[#This Row],[Math_Marks]:[Social_Marks]])</f>
        <v>66</v>
      </c>
      <c r="P182" t="str">
        <f>IF(Table1[[#This Row],[Total_Marks]]&gt;=400,"Top Performer","Need Improvement")</f>
        <v>Need Improvement</v>
      </c>
      <c r="Q182" t="str">
        <f>IF(Table1[[#This Row],[Total_Marks]]&gt;=400,"Excellent",IF(Table1[[#This Row],[Total_Marks]]&gt;=300,"Good",IF(Table1[[#This Row],[Total_Marks]]&gt;=200,"Average","Below Average")))</f>
        <v>Good</v>
      </c>
    </row>
    <row r="183" spans="1:17" x14ac:dyDescent="0.3">
      <c r="A183" t="s">
        <v>194</v>
      </c>
      <c r="B183" t="s">
        <v>723</v>
      </c>
      <c r="C183" t="s">
        <v>828</v>
      </c>
      <c r="D183">
        <v>22</v>
      </c>
      <c r="E183" t="s">
        <v>829</v>
      </c>
      <c r="F183" t="s">
        <v>841</v>
      </c>
      <c r="G183">
        <v>74</v>
      </c>
      <c r="H183">
        <v>3.4</v>
      </c>
      <c r="I183">
        <v>56</v>
      </c>
      <c r="J183">
        <v>56</v>
      </c>
      <c r="K183">
        <v>51</v>
      </c>
      <c r="L183">
        <v>65</v>
      </c>
      <c r="M183">
        <v>67</v>
      </c>
      <c r="N183">
        <f>SUM(Table1[[#This Row],[Math_Marks]:[Social_Marks]])</f>
        <v>295</v>
      </c>
      <c r="O183">
        <f>AVERAGE(Table1[[#This Row],[Math_Marks]:[Social_Marks]])</f>
        <v>59</v>
      </c>
      <c r="P183" t="str">
        <f>IF(Table1[[#This Row],[Total_Marks]]&gt;=400,"Top Performer","Need Improvement")</f>
        <v>Need Improvement</v>
      </c>
      <c r="Q183" t="str">
        <f>IF(Table1[[#This Row],[Total_Marks]]&gt;=400,"Excellent",IF(Table1[[#This Row],[Total_Marks]]&gt;=300,"Good",IF(Table1[[#This Row],[Total_Marks]]&gt;=200,"Average","Below Average")))</f>
        <v>Average</v>
      </c>
    </row>
    <row r="184" spans="1:17" x14ac:dyDescent="0.3">
      <c r="A184" t="s">
        <v>195</v>
      </c>
      <c r="B184" t="s">
        <v>738</v>
      </c>
      <c r="C184" t="s">
        <v>827</v>
      </c>
      <c r="D184">
        <v>19</v>
      </c>
      <c r="E184" t="s">
        <v>830</v>
      </c>
      <c r="F184" t="s">
        <v>835</v>
      </c>
      <c r="G184">
        <v>85</v>
      </c>
      <c r="H184">
        <v>4.3</v>
      </c>
      <c r="I184">
        <v>62</v>
      </c>
      <c r="J184">
        <v>84</v>
      </c>
      <c r="K184">
        <v>63</v>
      </c>
      <c r="L184">
        <v>61</v>
      </c>
      <c r="M184">
        <v>70</v>
      </c>
      <c r="N184">
        <f>SUM(Table1[[#This Row],[Math_Marks]:[Social_Marks]])</f>
        <v>340</v>
      </c>
      <c r="O184">
        <f>AVERAGE(Table1[[#This Row],[Math_Marks]:[Social_Marks]])</f>
        <v>68</v>
      </c>
      <c r="P184" t="str">
        <f>IF(Table1[[#This Row],[Total_Marks]]&gt;=400,"Top Performer","Need Improvement")</f>
        <v>Need Improvement</v>
      </c>
      <c r="Q184" t="str">
        <f>IF(Table1[[#This Row],[Total_Marks]]&gt;=400,"Excellent",IF(Table1[[#This Row],[Total_Marks]]&gt;=300,"Good",IF(Table1[[#This Row],[Total_Marks]]&gt;=200,"Average","Below Average")))</f>
        <v>Good</v>
      </c>
    </row>
    <row r="185" spans="1:17" x14ac:dyDescent="0.3">
      <c r="A185" t="s">
        <v>196</v>
      </c>
      <c r="B185" t="s">
        <v>739</v>
      </c>
      <c r="C185" t="s">
        <v>828</v>
      </c>
      <c r="D185">
        <v>18</v>
      </c>
      <c r="E185" t="s">
        <v>829</v>
      </c>
      <c r="F185" t="s">
        <v>840</v>
      </c>
      <c r="G185">
        <v>81</v>
      </c>
      <c r="H185">
        <v>2.1</v>
      </c>
      <c r="I185">
        <v>71</v>
      </c>
      <c r="J185">
        <v>55</v>
      </c>
      <c r="K185">
        <v>80</v>
      </c>
      <c r="L185">
        <v>71</v>
      </c>
      <c r="M185">
        <v>65</v>
      </c>
      <c r="N185">
        <f>SUM(Table1[[#This Row],[Math_Marks]:[Social_Marks]])</f>
        <v>342</v>
      </c>
      <c r="O185">
        <f>AVERAGE(Table1[[#This Row],[Math_Marks]:[Social_Marks]])</f>
        <v>68.400000000000006</v>
      </c>
      <c r="P185" t="str">
        <f>IF(Table1[[#This Row],[Total_Marks]]&gt;=400,"Top Performer","Need Improvement")</f>
        <v>Need Improvement</v>
      </c>
      <c r="Q185" t="str">
        <f>IF(Table1[[#This Row],[Total_Marks]]&gt;=400,"Excellent",IF(Table1[[#This Row],[Total_Marks]]&gt;=300,"Good",IF(Table1[[#This Row],[Total_Marks]]&gt;=200,"Average","Below Average")))</f>
        <v>Good</v>
      </c>
    </row>
    <row r="186" spans="1:17" x14ac:dyDescent="0.3">
      <c r="A186" t="s">
        <v>197</v>
      </c>
      <c r="B186" t="s">
        <v>695</v>
      </c>
      <c r="C186" t="s">
        <v>828</v>
      </c>
      <c r="D186">
        <v>21</v>
      </c>
      <c r="E186" t="s">
        <v>832</v>
      </c>
      <c r="F186" t="s">
        <v>841</v>
      </c>
      <c r="G186">
        <v>76</v>
      </c>
      <c r="H186">
        <v>4.7</v>
      </c>
      <c r="I186">
        <v>70</v>
      </c>
      <c r="J186">
        <v>64</v>
      </c>
      <c r="K186">
        <v>71</v>
      </c>
      <c r="L186">
        <v>69</v>
      </c>
      <c r="M186">
        <v>59</v>
      </c>
      <c r="N186">
        <f>SUM(Table1[[#This Row],[Math_Marks]:[Social_Marks]])</f>
        <v>333</v>
      </c>
      <c r="O186">
        <f>AVERAGE(Table1[[#This Row],[Math_Marks]:[Social_Marks]])</f>
        <v>66.599999999999994</v>
      </c>
      <c r="P186" t="str">
        <f>IF(Table1[[#This Row],[Total_Marks]]&gt;=400,"Top Performer","Need Improvement")</f>
        <v>Need Improvement</v>
      </c>
      <c r="Q186" t="str">
        <f>IF(Table1[[#This Row],[Total_Marks]]&gt;=400,"Excellent",IF(Table1[[#This Row],[Total_Marks]]&gt;=300,"Good",IF(Table1[[#This Row],[Total_Marks]]&gt;=200,"Average","Below Average")))</f>
        <v>Good</v>
      </c>
    </row>
    <row r="187" spans="1:17" x14ac:dyDescent="0.3">
      <c r="A187" t="s">
        <v>198</v>
      </c>
      <c r="B187" t="s">
        <v>726</v>
      </c>
      <c r="C187" t="s">
        <v>827</v>
      </c>
      <c r="D187">
        <v>20</v>
      </c>
      <c r="E187" t="s">
        <v>832</v>
      </c>
      <c r="F187" t="s">
        <v>835</v>
      </c>
      <c r="G187">
        <v>83</v>
      </c>
      <c r="H187">
        <v>3.1</v>
      </c>
      <c r="I187">
        <v>67</v>
      </c>
      <c r="J187">
        <v>76</v>
      </c>
      <c r="K187">
        <v>68</v>
      </c>
      <c r="L187">
        <v>72</v>
      </c>
      <c r="M187">
        <v>77</v>
      </c>
      <c r="N187">
        <f>SUM(Table1[[#This Row],[Math_Marks]:[Social_Marks]])</f>
        <v>360</v>
      </c>
      <c r="O187">
        <f>AVERAGE(Table1[[#This Row],[Math_Marks]:[Social_Marks]])</f>
        <v>72</v>
      </c>
      <c r="P187" t="str">
        <f>IF(Table1[[#This Row],[Total_Marks]]&gt;=400,"Top Performer","Need Improvement")</f>
        <v>Need Improvement</v>
      </c>
      <c r="Q187" t="str">
        <f>IF(Table1[[#This Row],[Total_Marks]]&gt;=400,"Excellent",IF(Table1[[#This Row],[Total_Marks]]&gt;=300,"Good",IF(Table1[[#This Row],[Total_Marks]]&gt;=200,"Average","Below Average")))</f>
        <v>Good</v>
      </c>
    </row>
    <row r="188" spans="1:17" x14ac:dyDescent="0.3">
      <c r="A188" t="s">
        <v>199</v>
      </c>
      <c r="B188" t="s">
        <v>622</v>
      </c>
      <c r="C188" t="s">
        <v>828</v>
      </c>
      <c r="D188">
        <v>20</v>
      </c>
      <c r="E188" t="s">
        <v>832</v>
      </c>
      <c r="F188" t="s">
        <v>837</v>
      </c>
      <c r="G188">
        <v>84</v>
      </c>
      <c r="H188">
        <v>5.2</v>
      </c>
      <c r="I188">
        <v>90</v>
      </c>
      <c r="J188">
        <v>69</v>
      </c>
      <c r="K188">
        <v>64</v>
      </c>
      <c r="L188">
        <v>67</v>
      </c>
      <c r="M188">
        <v>80</v>
      </c>
      <c r="N188">
        <f>SUM(Table1[[#This Row],[Math_Marks]:[Social_Marks]])</f>
        <v>370</v>
      </c>
      <c r="O188">
        <f>AVERAGE(Table1[[#This Row],[Math_Marks]:[Social_Marks]])</f>
        <v>74</v>
      </c>
      <c r="P188" t="str">
        <f>IF(Table1[[#This Row],[Total_Marks]]&gt;=400,"Top Performer","Need Improvement")</f>
        <v>Need Improvement</v>
      </c>
      <c r="Q188" t="str">
        <f>IF(Table1[[#This Row],[Total_Marks]]&gt;=400,"Excellent",IF(Table1[[#This Row],[Total_Marks]]&gt;=300,"Good",IF(Table1[[#This Row],[Total_Marks]]&gt;=200,"Average","Below Average")))</f>
        <v>Good</v>
      </c>
    </row>
    <row r="189" spans="1:17" x14ac:dyDescent="0.3">
      <c r="A189" t="s">
        <v>200</v>
      </c>
      <c r="B189" t="s">
        <v>740</v>
      </c>
      <c r="C189" t="s">
        <v>827</v>
      </c>
      <c r="D189">
        <v>20</v>
      </c>
      <c r="E189" t="s">
        <v>831</v>
      </c>
      <c r="F189" t="s">
        <v>842</v>
      </c>
      <c r="G189">
        <v>88</v>
      </c>
      <c r="H189">
        <v>2</v>
      </c>
      <c r="I189">
        <v>89</v>
      </c>
      <c r="J189">
        <v>69</v>
      </c>
      <c r="K189">
        <v>71</v>
      </c>
      <c r="L189">
        <v>63</v>
      </c>
      <c r="M189">
        <v>52</v>
      </c>
      <c r="N189">
        <f>SUM(Table1[[#This Row],[Math_Marks]:[Social_Marks]])</f>
        <v>344</v>
      </c>
      <c r="O189">
        <f>AVERAGE(Table1[[#This Row],[Math_Marks]:[Social_Marks]])</f>
        <v>68.8</v>
      </c>
      <c r="P189" t="str">
        <f>IF(Table1[[#This Row],[Total_Marks]]&gt;=400,"Top Performer","Need Improvement")</f>
        <v>Need Improvement</v>
      </c>
      <c r="Q189" t="str">
        <f>IF(Table1[[#This Row],[Total_Marks]]&gt;=400,"Excellent",IF(Table1[[#This Row],[Total_Marks]]&gt;=300,"Good",IF(Table1[[#This Row],[Total_Marks]]&gt;=200,"Average","Below Average")))</f>
        <v>Good</v>
      </c>
    </row>
    <row r="190" spans="1:17" x14ac:dyDescent="0.3">
      <c r="A190" t="s">
        <v>201</v>
      </c>
      <c r="B190" t="s">
        <v>734</v>
      </c>
      <c r="C190" t="s">
        <v>827</v>
      </c>
      <c r="D190">
        <v>21</v>
      </c>
      <c r="E190" t="s">
        <v>834</v>
      </c>
      <c r="F190" t="s">
        <v>840</v>
      </c>
      <c r="G190">
        <v>97</v>
      </c>
      <c r="H190">
        <v>4.2</v>
      </c>
      <c r="I190">
        <v>69</v>
      </c>
      <c r="J190">
        <v>70</v>
      </c>
      <c r="K190">
        <v>80</v>
      </c>
      <c r="L190">
        <v>72</v>
      </c>
      <c r="M190">
        <v>76</v>
      </c>
      <c r="N190">
        <f>SUM(Table1[[#This Row],[Math_Marks]:[Social_Marks]])</f>
        <v>367</v>
      </c>
      <c r="O190">
        <f>AVERAGE(Table1[[#This Row],[Math_Marks]:[Social_Marks]])</f>
        <v>73.400000000000006</v>
      </c>
      <c r="P190" t="str">
        <f>IF(Table1[[#This Row],[Total_Marks]]&gt;=400,"Top Performer","Need Improvement")</f>
        <v>Need Improvement</v>
      </c>
      <c r="Q190" t="str">
        <f>IF(Table1[[#This Row],[Total_Marks]]&gt;=400,"Excellent",IF(Table1[[#This Row],[Total_Marks]]&gt;=300,"Good",IF(Table1[[#This Row],[Total_Marks]]&gt;=200,"Average","Below Average")))</f>
        <v>Good</v>
      </c>
    </row>
    <row r="191" spans="1:17" x14ac:dyDescent="0.3">
      <c r="A191" t="s">
        <v>202</v>
      </c>
      <c r="B191" t="s">
        <v>694</v>
      </c>
      <c r="C191" t="s">
        <v>828</v>
      </c>
      <c r="D191">
        <v>22</v>
      </c>
      <c r="E191" t="s">
        <v>833</v>
      </c>
      <c r="F191" t="s">
        <v>838</v>
      </c>
      <c r="G191">
        <v>64</v>
      </c>
      <c r="H191">
        <v>3.4</v>
      </c>
      <c r="I191">
        <v>49</v>
      </c>
      <c r="J191">
        <v>59</v>
      </c>
      <c r="K191">
        <v>60</v>
      </c>
      <c r="L191">
        <v>42</v>
      </c>
      <c r="M191">
        <v>52</v>
      </c>
      <c r="N191">
        <f>SUM(Table1[[#This Row],[Math_Marks]:[Social_Marks]])</f>
        <v>262</v>
      </c>
      <c r="O191">
        <f>AVERAGE(Table1[[#This Row],[Math_Marks]:[Social_Marks]])</f>
        <v>52.4</v>
      </c>
      <c r="P191" t="str">
        <f>IF(Table1[[#This Row],[Total_Marks]]&gt;=400,"Top Performer","Need Improvement")</f>
        <v>Need Improvement</v>
      </c>
      <c r="Q191" t="str">
        <f>IF(Table1[[#This Row],[Total_Marks]]&gt;=400,"Excellent",IF(Table1[[#This Row],[Total_Marks]]&gt;=300,"Good",IF(Table1[[#This Row],[Total_Marks]]&gt;=200,"Average","Below Average")))</f>
        <v>Average</v>
      </c>
    </row>
    <row r="192" spans="1:17" x14ac:dyDescent="0.3">
      <c r="A192" t="s">
        <v>203</v>
      </c>
      <c r="B192" t="s">
        <v>741</v>
      </c>
      <c r="C192" t="s">
        <v>827</v>
      </c>
      <c r="D192">
        <v>19</v>
      </c>
      <c r="E192" t="s">
        <v>833</v>
      </c>
      <c r="F192" t="s">
        <v>836</v>
      </c>
      <c r="G192">
        <v>83</v>
      </c>
      <c r="H192">
        <v>5.3</v>
      </c>
      <c r="I192">
        <v>75</v>
      </c>
      <c r="J192">
        <v>72</v>
      </c>
      <c r="K192">
        <v>71</v>
      </c>
      <c r="L192">
        <v>80</v>
      </c>
      <c r="M192">
        <v>77</v>
      </c>
      <c r="N192">
        <f>SUM(Table1[[#This Row],[Math_Marks]:[Social_Marks]])</f>
        <v>375</v>
      </c>
      <c r="O192">
        <f>AVERAGE(Table1[[#This Row],[Math_Marks]:[Social_Marks]])</f>
        <v>75</v>
      </c>
      <c r="P192" t="str">
        <f>IF(Table1[[#This Row],[Total_Marks]]&gt;=400,"Top Performer","Need Improvement")</f>
        <v>Need Improvement</v>
      </c>
      <c r="Q192" t="str">
        <f>IF(Table1[[#This Row],[Total_Marks]]&gt;=400,"Excellent",IF(Table1[[#This Row],[Total_Marks]]&gt;=300,"Good",IF(Table1[[#This Row],[Total_Marks]]&gt;=200,"Average","Below Average")))</f>
        <v>Good</v>
      </c>
    </row>
    <row r="193" spans="1:17" x14ac:dyDescent="0.3">
      <c r="A193" t="s">
        <v>204</v>
      </c>
      <c r="B193" t="s">
        <v>673</v>
      </c>
      <c r="C193" t="s">
        <v>828</v>
      </c>
      <c r="D193">
        <v>18</v>
      </c>
      <c r="E193" t="s">
        <v>831</v>
      </c>
      <c r="F193" t="s">
        <v>839</v>
      </c>
      <c r="G193">
        <v>82</v>
      </c>
      <c r="H193">
        <v>5</v>
      </c>
      <c r="I193">
        <v>69</v>
      </c>
      <c r="J193">
        <v>61</v>
      </c>
      <c r="K193">
        <v>87</v>
      </c>
      <c r="L193">
        <v>77</v>
      </c>
      <c r="M193">
        <v>61</v>
      </c>
      <c r="N193">
        <f>SUM(Table1[[#This Row],[Math_Marks]:[Social_Marks]])</f>
        <v>355</v>
      </c>
      <c r="O193">
        <f>AVERAGE(Table1[[#This Row],[Math_Marks]:[Social_Marks]])</f>
        <v>71</v>
      </c>
      <c r="P193" t="str">
        <f>IF(Table1[[#This Row],[Total_Marks]]&gt;=400,"Top Performer","Need Improvement")</f>
        <v>Need Improvement</v>
      </c>
      <c r="Q193" t="str">
        <f>IF(Table1[[#This Row],[Total_Marks]]&gt;=400,"Excellent",IF(Table1[[#This Row],[Total_Marks]]&gt;=300,"Good",IF(Table1[[#This Row],[Total_Marks]]&gt;=200,"Average","Below Average")))</f>
        <v>Good</v>
      </c>
    </row>
    <row r="194" spans="1:17" x14ac:dyDescent="0.3">
      <c r="A194" t="s">
        <v>205</v>
      </c>
      <c r="B194" t="s">
        <v>698</v>
      </c>
      <c r="C194" t="s">
        <v>827</v>
      </c>
      <c r="D194">
        <v>21</v>
      </c>
      <c r="E194" t="s">
        <v>833</v>
      </c>
      <c r="F194" t="s">
        <v>835</v>
      </c>
      <c r="G194">
        <v>77</v>
      </c>
      <c r="H194">
        <v>5.9</v>
      </c>
      <c r="I194">
        <v>58</v>
      </c>
      <c r="J194">
        <v>66</v>
      </c>
      <c r="K194">
        <v>67</v>
      </c>
      <c r="L194">
        <v>68</v>
      </c>
      <c r="M194">
        <v>71</v>
      </c>
      <c r="N194">
        <f>SUM(Table1[[#This Row],[Math_Marks]:[Social_Marks]])</f>
        <v>330</v>
      </c>
      <c r="O194">
        <f>AVERAGE(Table1[[#This Row],[Math_Marks]:[Social_Marks]])</f>
        <v>66</v>
      </c>
      <c r="P194" t="str">
        <f>IF(Table1[[#This Row],[Total_Marks]]&gt;=400,"Top Performer","Need Improvement")</f>
        <v>Need Improvement</v>
      </c>
      <c r="Q194" t="str">
        <f>IF(Table1[[#This Row],[Total_Marks]]&gt;=400,"Excellent",IF(Table1[[#This Row],[Total_Marks]]&gt;=300,"Good",IF(Table1[[#This Row],[Total_Marks]]&gt;=200,"Average","Below Average")))</f>
        <v>Good</v>
      </c>
    </row>
    <row r="195" spans="1:17" x14ac:dyDescent="0.3">
      <c r="A195" t="s">
        <v>206</v>
      </c>
      <c r="B195" t="s">
        <v>626</v>
      </c>
      <c r="C195" t="s">
        <v>827</v>
      </c>
      <c r="D195">
        <v>22</v>
      </c>
      <c r="E195" t="s">
        <v>829</v>
      </c>
      <c r="F195" t="s">
        <v>839</v>
      </c>
      <c r="G195">
        <v>82</v>
      </c>
      <c r="H195">
        <v>4</v>
      </c>
      <c r="I195">
        <v>73</v>
      </c>
      <c r="J195">
        <v>71</v>
      </c>
      <c r="K195">
        <v>67</v>
      </c>
      <c r="L195">
        <v>60</v>
      </c>
      <c r="M195">
        <v>67</v>
      </c>
      <c r="N195">
        <f>SUM(Table1[[#This Row],[Math_Marks]:[Social_Marks]])</f>
        <v>338</v>
      </c>
      <c r="O195">
        <f>AVERAGE(Table1[[#This Row],[Math_Marks]:[Social_Marks]])</f>
        <v>67.599999999999994</v>
      </c>
      <c r="P195" t="str">
        <f>IF(Table1[[#This Row],[Total_Marks]]&gt;=400,"Top Performer","Need Improvement")</f>
        <v>Need Improvement</v>
      </c>
      <c r="Q195" t="str">
        <f>IF(Table1[[#This Row],[Total_Marks]]&gt;=400,"Excellent",IF(Table1[[#This Row],[Total_Marks]]&gt;=300,"Good",IF(Table1[[#This Row],[Total_Marks]]&gt;=200,"Average","Below Average")))</f>
        <v>Good</v>
      </c>
    </row>
    <row r="196" spans="1:17" x14ac:dyDescent="0.3">
      <c r="A196" t="s">
        <v>207</v>
      </c>
      <c r="B196" t="s">
        <v>714</v>
      </c>
      <c r="C196" t="s">
        <v>827</v>
      </c>
      <c r="D196">
        <v>21</v>
      </c>
      <c r="E196" t="s">
        <v>833</v>
      </c>
      <c r="F196" t="s">
        <v>842</v>
      </c>
      <c r="G196">
        <v>77</v>
      </c>
      <c r="H196">
        <v>4.4000000000000004</v>
      </c>
      <c r="I196">
        <v>74</v>
      </c>
      <c r="J196">
        <v>92</v>
      </c>
      <c r="K196">
        <v>70</v>
      </c>
      <c r="L196">
        <v>76</v>
      </c>
      <c r="M196">
        <v>67</v>
      </c>
      <c r="N196">
        <f>SUM(Table1[[#This Row],[Math_Marks]:[Social_Marks]])</f>
        <v>379</v>
      </c>
      <c r="O196">
        <f>AVERAGE(Table1[[#This Row],[Math_Marks]:[Social_Marks]])</f>
        <v>75.8</v>
      </c>
      <c r="P196" t="str">
        <f>IF(Table1[[#This Row],[Total_Marks]]&gt;=400,"Top Performer","Need Improvement")</f>
        <v>Need Improvement</v>
      </c>
      <c r="Q196" t="str">
        <f>IF(Table1[[#This Row],[Total_Marks]]&gt;=400,"Excellent",IF(Table1[[#This Row],[Total_Marks]]&gt;=300,"Good",IF(Table1[[#This Row],[Total_Marks]]&gt;=200,"Average","Below Average")))</f>
        <v>Good</v>
      </c>
    </row>
    <row r="197" spans="1:17" x14ac:dyDescent="0.3">
      <c r="A197" t="s">
        <v>208</v>
      </c>
      <c r="B197" t="s">
        <v>693</v>
      </c>
      <c r="C197" t="s">
        <v>827</v>
      </c>
      <c r="D197">
        <v>20</v>
      </c>
      <c r="E197" t="s">
        <v>830</v>
      </c>
      <c r="F197" t="s">
        <v>836</v>
      </c>
      <c r="G197">
        <v>84</v>
      </c>
      <c r="H197">
        <v>5.7</v>
      </c>
      <c r="I197">
        <v>69</v>
      </c>
      <c r="J197">
        <v>93</v>
      </c>
      <c r="K197">
        <v>75</v>
      </c>
      <c r="L197">
        <v>66</v>
      </c>
      <c r="M197">
        <v>66</v>
      </c>
      <c r="N197">
        <f>SUM(Table1[[#This Row],[Math_Marks]:[Social_Marks]])</f>
        <v>369</v>
      </c>
      <c r="O197">
        <f>AVERAGE(Table1[[#This Row],[Math_Marks]:[Social_Marks]])</f>
        <v>73.8</v>
      </c>
      <c r="P197" t="str">
        <f>IF(Table1[[#This Row],[Total_Marks]]&gt;=400,"Top Performer","Need Improvement")</f>
        <v>Need Improvement</v>
      </c>
      <c r="Q197" t="str">
        <f>IF(Table1[[#This Row],[Total_Marks]]&gt;=400,"Excellent",IF(Table1[[#This Row],[Total_Marks]]&gt;=300,"Good",IF(Table1[[#This Row],[Total_Marks]]&gt;=200,"Average","Below Average")))</f>
        <v>Good</v>
      </c>
    </row>
    <row r="198" spans="1:17" x14ac:dyDescent="0.3">
      <c r="A198" t="s">
        <v>209</v>
      </c>
      <c r="B198" t="s">
        <v>625</v>
      </c>
      <c r="C198" t="s">
        <v>827</v>
      </c>
      <c r="D198">
        <v>18</v>
      </c>
      <c r="E198" t="s">
        <v>834</v>
      </c>
      <c r="F198" t="s">
        <v>838</v>
      </c>
      <c r="G198">
        <v>83</v>
      </c>
      <c r="H198">
        <v>3.7</v>
      </c>
      <c r="I198">
        <v>62</v>
      </c>
      <c r="J198">
        <v>61</v>
      </c>
      <c r="K198">
        <v>71</v>
      </c>
      <c r="L198">
        <v>74</v>
      </c>
      <c r="M198">
        <v>72</v>
      </c>
      <c r="N198">
        <f>SUM(Table1[[#This Row],[Math_Marks]:[Social_Marks]])</f>
        <v>340</v>
      </c>
      <c r="O198">
        <f>AVERAGE(Table1[[#This Row],[Math_Marks]:[Social_Marks]])</f>
        <v>68</v>
      </c>
      <c r="P198" t="str">
        <f>IF(Table1[[#This Row],[Total_Marks]]&gt;=400,"Top Performer","Need Improvement")</f>
        <v>Need Improvement</v>
      </c>
      <c r="Q198" t="str">
        <f>IF(Table1[[#This Row],[Total_Marks]]&gt;=400,"Excellent",IF(Table1[[#This Row],[Total_Marks]]&gt;=300,"Good",IF(Table1[[#This Row],[Total_Marks]]&gt;=200,"Average","Below Average")))</f>
        <v>Good</v>
      </c>
    </row>
    <row r="199" spans="1:17" x14ac:dyDescent="0.3">
      <c r="A199" t="s">
        <v>210</v>
      </c>
      <c r="B199" t="s">
        <v>664</v>
      </c>
      <c r="C199" t="s">
        <v>827</v>
      </c>
      <c r="D199">
        <v>20</v>
      </c>
      <c r="E199" t="s">
        <v>834</v>
      </c>
      <c r="F199" t="s">
        <v>839</v>
      </c>
      <c r="G199">
        <v>77</v>
      </c>
      <c r="H199">
        <v>2.4</v>
      </c>
      <c r="I199">
        <v>72</v>
      </c>
      <c r="J199">
        <v>71</v>
      </c>
      <c r="K199">
        <v>77</v>
      </c>
      <c r="L199">
        <v>89</v>
      </c>
      <c r="M199">
        <v>53</v>
      </c>
      <c r="N199">
        <f>SUM(Table1[[#This Row],[Math_Marks]:[Social_Marks]])</f>
        <v>362</v>
      </c>
      <c r="O199">
        <f>AVERAGE(Table1[[#This Row],[Math_Marks]:[Social_Marks]])</f>
        <v>72.400000000000006</v>
      </c>
      <c r="P199" t="str">
        <f>IF(Table1[[#This Row],[Total_Marks]]&gt;=400,"Top Performer","Need Improvement")</f>
        <v>Need Improvement</v>
      </c>
      <c r="Q199" t="str">
        <f>IF(Table1[[#This Row],[Total_Marks]]&gt;=400,"Excellent",IF(Table1[[#This Row],[Total_Marks]]&gt;=300,"Good",IF(Table1[[#This Row],[Total_Marks]]&gt;=200,"Average","Below Average")))</f>
        <v>Good</v>
      </c>
    </row>
    <row r="200" spans="1:17" x14ac:dyDescent="0.3">
      <c r="A200" t="s">
        <v>211</v>
      </c>
      <c r="B200" t="s">
        <v>742</v>
      </c>
      <c r="C200" t="s">
        <v>828</v>
      </c>
      <c r="D200">
        <v>19</v>
      </c>
      <c r="E200" t="s">
        <v>832</v>
      </c>
      <c r="F200" t="s">
        <v>842</v>
      </c>
      <c r="G200">
        <v>72</v>
      </c>
      <c r="H200">
        <v>3.4</v>
      </c>
      <c r="I200">
        <v>55</v>
      </c>
      <c r="J200">
        <v>52</v>
      </c>
      <c r="K200">
        <v>56</v>
      </c>
      <c r="L200">
        <v>56</v>
      </c>
      <c r="M200">
        <v>57</v>
      </c>
      <c r="N200">
        <f>SUM(Table1[[#This Row],[Math_Marks]:[Social_Marks]])</f>
        <v>276</v>
      </c>
      <c r="O200">
        <f>AVERAGE(Table1[[#This Row],[Math_Marks]:[Social_Marks]])</f>
        <v>55.2</v>
      </c>
      <c r="P200" t="str">
        <f>IF(Table1[[#This Row],[Total_Marks]]&gt;=400,"Top Performer","Need Improvement")</f>
        <v>Need Improvement</v>
      </c>
      <c r="Q200" t="str">
        <f>IF(Table1[[#This Row],[Total_Marks]]&gt;=400,"Excellent",IF(Table1[[#This Row],[Total_Marks]]&gt;=300,"Good",IF(Table1[[#This Row],[Total_Marks]]&gt;=200,"Average","Below Average")))</f>
        <v>Average</v>
      </c>
    </row>
    <row r="201" spans="1:17" x14ac:dyDescent="0.3">
      <c r="A201" t="s">
        <v>212</v>
      </c>
      <c r="B201" t="s">
        <v>698</v>
      </c>
      <c r="C201" t="s">
        <v>827</v>
      </c>
      <c r="D201">
        <v>20</v>
      </c>
      <c r="E201" t="s">
        <v>829</v>
      </c>
      <c r="F201" t="s">
        <v>837</v>
      </c>
      <c r="G201">
        <v>65</v>
      </c>
      <c r="H201">
        <v>2.2999999999999998</v>
      </c>
      <c r="I201">
        <v>42</v>
      </c>
      <c r="J201">
        <v>41</v>
      </c>
      <c r="K201">
        <v>39</v>
      </c>
      <c r="L201">
        <v>58</v>
      </c>
      <c r="M201">
        <v>47</v>
      </c>
      <c r="N201">
        <f>SUM(Table1[[#This Row],[Math_Marks]:[Social_Marks]])</f>
        <v>227</v>
      </c>
      <c r="O201">
        <f>AVERAGE(Table1[[#This Row],[Math_Marks]:[Social_Marks]])</f>
        <v>45.4</v>
      </c>
      <c r="P201" t="str">
        <f>IF(Table1[[#This Row],[Total_Marks]]&gt;=400,"Top Performer","Need Improvement")</f>
        <v>Need Improvement</v>
      </c>
      <c r="Q201" t="str">
        <f>IF(Table1[[#This Row],[Total_Marks]]&gt;=400,"Excellent",IF(Table1[[#This Row],[Total_Marks]]&gt;=300,"Good",IF(Table1[[#This Row],[Total_Marks]]&gt;=200,"Average","Below Average")))</f>
        <v>Average</v>
      </c>
    </row>
    <row r="202" spans="1:17" x14ac:dyDescent="0.3">
      <c r="A202" t="s">
        <v>213</v>
      </c>
      <c r="B202" t="s">
        <v>743</v>
      </c>
      <c r="C202" t="s">
        <v>827</v>
      </c>
      <c r="D202">
        <v>20</v>
      </c>
      <c r="E202" t="s">
        <v>833</v>
      </c>
      <c r="F202" t="s">
        <v>842</v>
      </c>
      <c r="G202">
        <v>82</v>
      </c>
      <c r="H202">
        <v>4.0999999999999996</v>
      </c>
      <c r="I202">
        <v>51</v>
      </c>
      <c r="J202">
        <v>53</v>
      </c>
      <c r="K202">
        <v>51</v>
      </c>
      <c r="L202">
        <v>46</v>
      </c>
      <c r="M202">
        <v>48</v>
      </c>
      <c r="N202">
        <f>SUM(Table1[[#This Row],[Math_Marks]:[Social_Marks]])</f>
        <v>249</v>
      </c>
      <c r="O202">
        <f>AVERAGE(Table1[[#This Row],[Math_Marks]:[Social_Marks]])</f>
        <v>49.8</v>
      </c>
      <c r="P202" t="str">
        <f>IF(Table1[[#This Row],[Total_Marks]]&gt;=400,"Top Performer","Need Improvement")</f>
        <v>Need Improvement</v>
      </c>
      <c r="Q202" t="str">
        <f>IF(Table1[[#This Row],[Total_Marks]]&gt;=400,"Excellent",IF(Table1[[#This Row],[Total_Marks]]&gt;=300,"Good",IF(Table1[[#This Row],[Total_Marks]]&gt;=200,"Average","Below Average")))</f>
        <v>Average</v>
      </c>
    </row>
    <row r="203" spans="1:17" x14ac:dyDescent="0.3">
      <c r="A203" t="s">
        <v>214</v>
      </c>
      <c r="B203" t="s">
        <v>728</v>
      </c>
      <c r="C203" t="s">
        <v>828</v>
      </c>
      <c r="D203">
        <v>19</v>
      </c>
      <c r="E203" t="s">
        <v>829</v>
      </c>
      <c r="F203" t="s">
        <v>841</v>
      </c>
      <c r="G203">
        <v>91</v>
      </c>
      <c r="H203">
        <v>3.4</v>
      </c>
      <c r="I203">
        <v>65</v>
      </c>
      <c r="J203">
        <v>66</v>
      </c>
      <c r="K203">
        <v>58</v>
      </c>
      <c r="L203">
        <v>68</v>
      </c>
      <c r="M203">
        <v>69</v>
      </c>
      <c r="N203">
        <f>SUM(Table1[[#This Row],[Math_Marks]:[Social_Marks]])</f>
        <v>326</v>
      </c>
      <c r="O203">
        <f>AVERAGE(Table1[[#This Row],[Math_Marks]:[Social_Marks]])</f>
        <v>65.2</v>
      </c>
      <c r="P203" t="str">
        <f>IF(Table1[[#This Row],[Total_Marks]]&gt;=400,"Top Performer","Need Improvement")</f>
        <v>Need Improvement</v>
      </c>
      <c r="Q203" t="str">
        <f>IF(Table1[[#This Row],[Total_Marks]]&gt;=400,"Excellent",IF(Table1[[#This Row],[Total_Marks]]&gt;=300,"Good",IF(Table1[[#This Row],[Total_Marks]]&gt;=200,"Average","Below Average")))</f>
        <v>Good</v>
      </c>
    </row>
    <row r="204" spans="1:17" x14ac:dyDescent="0.3">
      <c r="A204" t="s">
        <v>215</v>
      </c>
      <c r="B204" t="s">
        <v>681</v>
      </c>
      <c r="C204" t="s">
        <v>828</v>
      </c>
      <c r="D204">
        <v>20</v>
      </c>
      <c r="E204" t="s">
        <v>833</v>
      </c>
      <c r="F204" t="s">
        <v>841</v>
      </c>
      <c r="G204">
        <v>82</v>
      </c>
      <c r="H204">
        <v>3.8</v>
      </c>
      <c r="I204">
        <v>58</v>
      </c>
      <c r="J204">
        <v>52</v>
      </c>
      <c r="K204">
        <v>64</v>
      </c>
      <c r="L204">
        <v>57</v>
      </c>
      <c r="M204">
        <v>64</v>
      </c>
      <c r="N204">
        <f>SUM(Table1[[#This Row],[Math_Marks]:[Social_Marks]])</f>
        <v>295</v>
      </c>
      <c r="O204">
        <f>AVERAGE(Table1[[#This Row],[Math_Marks]:[Social_Marks]])</f>
        <v>59</v>
      </c>
      <c r="P204" t="str">
        <f>IF(Table1[[#This Row],[Total_Marks]]&gt;=400,"Top Performer","Need Improvement")</f>
        <v>Need Improvement</v>
      </c>
      <c r="Q204" t="str">
        <f>IF(Table1[[#This Row],[Total_Marks]]&gt;=400,"Excellent",IF(Table1[[#This Row],[Total_Marks]]&gt;=300,"Good",IF(Table1[[#This Row],[Total_Marks]]&gt;=200,"Average","Below Average")))</f>
        <v>Average</v>
      </c>
    </row>
    <row r="205" spans="1:17" x14ac:dyDescent="0.3">
      <c r="A205" t="s">
        <v>216</v>
      </c>
      <c r="B205" t="s">
        <v>744</v>
      </c>
      <c r="C205" t="s">
        <v>828</v>
      </c>
      <c r="D205">
        <v>18</v>
      </c>
      <c r="E205" t="s">
        <v>831</v>
      </c>
      <c r="F205" t="s">
        <v>838</v>
      </c>
      <c r="G205">
        <v>83</v>
      </c>
      <c r="H205">
        <v>4.7</v>
      </c>
      <c r="I205">
        <v>86</v>
      </c>
      <c r="J205">
        <v>87</v>
      </c>
      <c r="K205">
        <v>75</v>
      </c>
      <c r="L205">
        <v>73</v>
      </c>
      <c r="M205">
        <v>96</v>
      </c>
      <c r="N205">
        <f>SUM(Table1[[#This Row],[Math_Marks]:[Social_Marks]])</f>
        <v>417</v>
      </c>
      <c r="O205">
        <f>AVERAGE(Table1[[#This Row],[Math_Marks]:[Social_Marks]])</f>
        <v>83.4</v>
      </c>
      <c r="P205" t="str">
        <f>IF(Table1[[#This Row],[Total_Marks]]&gt;=400,"Top Performer","Need Improvement")</f>
        <v>Top Performer</v>
      </c>
      <c r="Q205" t="str">
        <f>IF(Table1[[#This Row],[Total_Marks]]&gt;=400,"Excellent",IF(Table1[[#This Row],[Total_Marks]]&gt;=300,"Good",IF(Table1[[#This Row],[Total_Marks]]&gt;=200,"Average","Below Average")))</f>
        <v>Excellent</v>
      </c>
    </row>
    <row r="206" spans="1:17" x14ac:dyDescent="0.3">
      <c r="A206" t="s">
        <v>217</v>
      </c>
      <c r="B206" t="s">
        <v>655</v>
      </c>
      <c r="C206" t="s">
        <v>827</v>
      </c>
      <c r="D206">
        <v>20</v>
      </c>
      <c r="E206" t="s">
        <v>833</v>
      </c>
      <c r="F206" t="s">
        <v>840</v>
      </c>
      <c r="G206">
        <v>81</v>
      </c>
      <c r="H206">
        <v>2.4</v>
      </c>
      <c r="I206">
        <v>66</v>
      </c>
      <c r="J206">
        <v>50</v>
      </c>
      <c r="K206">
        <v>45</v>
      </c>
      <c r="L206">
        <v>64</v>
      </c>
      <c r="M206">
        <v>60</v>
      </c>
      <c r="N206">
        <f>SUM(Table1[[#This Row],[Math_Marks]:[Social_Marks]])</f>
        <v>285</v>
      </c>
      <c r="O206">
        <f>AVERAGE(Table1[[#This Row],[Math_Marks]:[Social_Marks]])</f>
        <v>57</v>
      </c>
      <c r="P206" t="str">
        <f>IF(Table1[[#This Row],[Total_Marks]]&gt;=400,"Top Performer","Need Improvement")</f>
        <v>Need Improvement</v>
      </c>
      <c r="Q206" t="str">
        <f>IF(Table1[[#This Row],[Total_Marks]]&gt;=400,"Excellent",IF(Table1[[#This Row],[Total_Marks]]&gt;=300,"Good",IF(Table1[[#This Row],[Total_Marks]]&gt;=200,"Average","Below Average")))</f>
        <v>Average</v>
      </c>
    </row>
    <row r="207" spans="1:17" x14ac:dyDescent="0.3">
      <c r="A207" t="s">
        <v>218</v>
      </c>
      <c r="B207" t="s">
        <v>721</v>
      </c>
      <c r="C207" t="s">
        <v>828</v>
      </c>
      <c r="D207">
        <v>21</v>
      </c>
      <c r="E207" t="s">
        <v>834</v>
      </c>
      <c r="F207" t="s">
        <v>838</v>
      </c>
      <c r="G207">
        <v>81</v>
      </c>
      <c r="H207">
        <v>5.5</v>
      </c>
      <c r="I207">
        <v>63</v>
      </c>
      <c r="J207">
        <v>69</v>
      </c>
      <c r="K207">
        <v>45</v>
      </c>
      <c r="L207">
        <v>72</v>
      </c>
      <c r="M207">
        <v>54</v>
      </c>
      <c r="N207">
        <f>SUM(Table1[[#This Row],[Math_Marks]:[Social_Marks]])</f>
        <v>303</v>
      </c>
      <c r="O207">
        <f>AVERAGE(Table1[[#This Row],[Math_Marks]:[Social_Marks]])</f>
        <v>60.6</v>
      </c>
      <c r="P207" t="str">
        <f>IF(Table1[[#This Row],[Total_Marks]]&gt;=400,"Top Performer","Need Improvement")</f>
        <v>Need Improvement</v>
      </c>
      <c r="Q207" t="str">
        <f>IF(Table1[[#This Row],[Total_Marks]]&gt;=400,"Excellent",IF(Table1[[#This Row],[Total_Marks]]&gt;=300,"Good",IF(Table1[[#This Row],[Total_Marks]]&gt;=200,"Average","Below Average")))</f>
        <v>Good</v>
      </c>
    </row>
    <row r="208" spans="1:17" x14ac:dyDescent="0.3">
      <c r="A208" t="s">
        <v>219</v>
      </c>
      <c r="B208" t="s">
        <v>745</v>
      </c>
      <c r="C208" t="s">
        <v>828</v>
      </c>
      <c r="D208">
        <v>19</v>
      </c>
      <c r="E208" t="s">
        <v>829</v>
      </c>
      <c r="F208" t="s">
        <v>841</v>
      </c>
      <c r="G208">
        <v>86</v>
      </c>
      <c r="H208">
        <v>1</v>
      </c>
      <c r="I208">
        <v>50</v>
      </c>
      <c r="J208">
        <v>47</v>
      </c>
      <c r="K208">
        <v>52</v>
      </c>
      <c r="L208">
        <v>55</v>
      </c>
      <c r="M208">
        <v>53</v>
      </c>
      <c r="N208">
        <f>SUM(Table1[[#This Row],[Math_Marks]:[Social_Marks]])</f>
        <v>257</v>
      </c>
      <c r="O208">
        <f>AVERAGE(Table1[[#This Row],[Math_Marks]:[Social_Marks]])</f>
        <v>51.4</v>
      </c>
      <c r="P208" t="str">
        <f>IF(Table1[[#This Row],[Total_Marks]]&gt;=400,"Top Performer","Need Improvement")</f>
        <v>Need Improvement</v>
      </c>
      <c r="Q208" t="str">
        <f>IF(Table1[[#This Row],[Total_Marks]]&gt;=400,"Excellent",IF(Table1[[#This Row],[Total_Marks]]&gt;=300,"Good",IF(Table1[[#This Row],[Total_Marks]]&gt;=200,"Average","Below Average")))</f>
        <v>Average</v>
      </c>
    </row>
    <row r="209" spans="1:17" x14ac:dyDescent="0.3">
      <c r="A209" t="s">
        <v>220</v>
      </c>
      <c r="B209" t="s">
        <v>746</v>
      </c>
      <c r="C209" t="s">
        <v>827</v>
      </c>
      <c r="D209">
        <v>21</v>
      </c>
      <c r="E209" t="s">
        <v>829</v>
      </c>
      <c r="F209" t="s">
        <v>840</v>
      </c>
      <c r="G209">
        <v>85</v>
      </c>
      <c r="H209">
        <v>2.2000000000000002</v>
      </c>
      <c r="I209">
        <v>70</v>
      </c>
      <c r="J209">
        <v>64</v>
      </c>
      <c r="K209">
        <v>38</v>
      </c>
      <c r="L209">
        <v>53</v>
      </c>
      <c r="M209">
        <v>78</v>
      </c>
      <c r="N209">
        <f>SUM(Table1[[#This Row],[Math_Marks]:[Social_Marks]])</f>
        <v>303</v>
      </c>
      <c r="O209">
        <f>AVERAGE(Table1[[#This Row],[Math_Marks]:[Social_Marks]])</f>
        <v>60.6</v>
      </c>
      <c r="P209" t="str">
        <f>IF(Table1[[#This Row],[Total_Marks]]&gt;=400,"Top Performer","Need Improvement")</f>
        <v>Need Improvement</v>
      </c>
      <c r="Q209" t="str">
        <f>IF(Table1[[#This Row],[Total_Marks]]&gt;=400,"Excellent",IF(Table1[[#This Row],[Total_Marks]]&gt;=300,"Good",IF(Table1[[#This Row],[Total_Marks]]&gt;=200,"Average","Below Average")))</f>
        <v>Good</v>
      </c>
    </row>
    <row r="210" spans="1:17" x14ac:dyDescent="0.3">
      <c r="A210" t="s">
        <v>221</v>
      </c>
      <c r="B210" t="s">
        <v>747</v>
      </c>
      <c r="C210" t="s">
        <v>827</v>
      </c>
      <c r="D210">
        <v>22</v>
      </c>
      <c r="E210" t="s">
        <v>829</v>
      </c>
      <c r="F210" t="s">
        <v>841</v>
      </c>
      <c r="G210">
        <v>82</v>
      </c>
      <c r="H210">
        <v>5.5</v>
      </c>
      <c r="I210">
        <v>77</v>
      </c>
      <c r="J210">
        <v>76</v>
      </c>
      <c r="K210">
        <v>79</v>
      </c>
      <c r="L210">
        <v>91</v>
      </c>
      <c r="M210">
        <v>81</v>
      </c>
      <c r="N210">
        <f>SUM(Table1[[#This Row],[Math_Marks]:[Social_Marks]])</f>
        <v>404</v>
      </c>
      <c r="O210">
        <f>AVERAGE(Table1[[#This Row],[Math_Marks]:[Social_Marks]])</f>
        <v>80.8</v>
      </c>
      <c r="P210" t="str">
        <f>IF(Table1[[#This Row],[Total_Marks]]&gt;=400,"Top Performer","Need Improvement")</f>
        <v>Top Performer</v>
      </c>
      <c r="Q210" t="str">
        <f>IF(Table1[[#This Row],[Total_Marks]]&gt;=400,"Excellent",IF(Table1[[#This Row],[Total_Marks]]&gt;=300,"Good",IF(Table1[[#This Row],[Total_Marks]]&gt;=200,"Average","Below Average")))</f>
        <v>Excellent</v>
      </c>
    </row>
    <row r="211" spans="1:17" x14ac:dyDescent="0.3">
      <c r="A211" t="s">
        <v>222</v>
      </c>
      <c r="B211" t="s">
        <v>748</v>
      </c>
      <c r="C211" t="s">
        <v>828</v>
      </c>
      <c r="D211">
        <v>21</v>
      </c>
      <c r="E211" t="s">
        <v>832</v>
      </c>
      <c r="F211" t="s">
        <v>838</v>
      </c>
      <c r="G211">
        <v>92</v>
      </c>
      <c r="H211">
        <v>3.2</v>
      </c>
      <c r="I211">
        <v>80</v>
      </c>
      <c r="J211">
        <v>93</v>
      </c>
      <c r="K211">
        <v>66</v>
      </c>
      <c r="L211">
        <v>68</v>
      </c>
      <c r="M211">
        <v>70</v>
      </c>
      <c r="N211">
        <f>SUM(Table1[[#This Row],[Math_Marks]:[Social_Marks]])</f>
        <v>377</v>
      </c>
      <c r="O211">
        <f>AVERAGE(Table1[[#This Row],[Math_Marks]:[Social_Marks]])</f>
        <v>75.400000000000006</v>
      </c>
      <c r="P211" t="str">
        <f>IF(Table1[[#This Row],[Total_Marks]]&gt;=400,"Top Performer","Need Improvement")</f>
        <v>Need Improvement</v>
      </c>
      <c r="Q211" t="str">
        <f>IF(Table1[[#This Row],[Total_Marks]]&gt;=400,"Excellent",IF(Table1[[#This Row],[Total_Marks]]&gt;=300,"Good",IF(Table1[[#This Row],[Total_Marks]]&gt;=200,"Average","Below Average")))</f>
        <v>Good</v>
      </c>
    </row>
    <row r="212" spans="1:17" x14ac:dyDescent="0.3">
      <c r="A212" t="s">
        <v>223</v>
      </c>
      <c r="B212" t="s">
        <v>749</v>
      </c>
      <c r="C212" t="s">
        <v>828</v>
      </c>
      <c r="D212">
        <v>21</v>
      </c>
      <c r="E212" t="s">
        <v>831</v>
      </c>
      <c r="F212" t="s">
        <v>836</v>
      </c>
      <c r="G212">
        <v>78</v>
      </c>
      <c r="H212">
        <v>4.4000000000000004</v>
      </c>
      <c r="I212">
        <v>78</v>
      </c>
      <c r="J212">
        <v>62</v>
      </c>
      <c r="K212">
        <v>73</v>
      </c>
      <c r="L212">
        <v>64</v>
      </c>
      <c r="M212">
        <v>69</v>
      </c>
      <c r="N212">
        <f>SUM(Table1[[#This Row],[Math_Marks]:[Social_Marks]])</f>
        <v>346</v>
      </c>
      <c r="O212">
        <f>AVERAGE(Table1[[#This Row],[Math_Marks]:[Social_Marks]])</f>
        <v>69.2</v>
      </c>
      <c r="P212" t="str">
        <f>IF(Table1[[#This Row],[Total_Marks]]&gt;=400,"Top Performer","Need Improvement")</f>
        <v>Need Improvement</v>
      </c>
      <c r="Q212" t="str">
        <f>IF(Table1[[#This Row],[Total_Marks]]&gt;=400,"Excellent",IF(Table1[[#This Row],[Total_Marks]]&gt;=300,"Good",IF(Table1[[#This Row],[Total_Marks]]&gt;=200,"Average","Below Average")))</f>
        <v>Good</v>
      </c>
    </row>
    <row r="213" spans="1:17" x14ac:dyDescent="0.3">
      <c r="A213" t="s">
        <v>224</v>
      </c>
      <c r="B213" t="s">
        <v>748</v>
      </c>
      <c r="C213" t="s">
        <v>828</v>
      </c>
      <c r="D213">
        <v>18</v>
      </c>
      <c r="E213" t="s">
        <v>829</v>
      </c>
      <c r="F213" t="s">
        <v>840</v>
      </c>
      <c r="G213">
        <v>86</v>
      </c>
      <c r="H213">
        <v>4.3</v>
      </c>
      <c r="I213">
        <v>68</v>
      </c>
      <c r="J213">
        <v>83</v>
      </c>
      <c r="K213">
        <v>63</v>
      </c>
      <c r="L213">
        <v>68</v>
      </c>
      <c r="M213">
        <v>75</v>
      </c>
      <c r="N213">
        <f>SUM(Table1[[#This Row],[Math_Marks]:[Social_Marks]])</f>
        <v>357</v>
      </c>
      <c r="O213">
        <f>AVERAGE(Table1[[#This Row],[Math_Marks]:[Social_Marks]])</f>
        <v>71.400000000000006</v>
      </c>
      <c r="P213" t="str">
        <f>IF(Table1[[#This Row],[Total_Marks]]&gt;=400,"Top Performer","Need Improvement")</f>
        <v>Need Improvement</v>
      </c>
      <c r="Q213" t="str">
        <f>IF(Table1[[#This Row],[Total_Marks]]&gt;=400,"Excellent",IF(Table1[[#This Row],[Total_Marks]]&gt;=300,"Good",IF(Table1[[#This Row],[Total_Marks]]&gt;=200,"Average","Below Average")))</f>
        <v>Good</v>
      </c>
    </row>
    <row r="214" spans="1:17" x14ac:dyDescent="0.3">
      <c r="A214" t="s">
        <v>225</v>
      </c>
      <c r="B214" t="s">
        <v>623</v>
      </c>
      <c r="C214" t="s">
        <v>828</v>
      </c>
      <c r="D214">
        <v>22</v>
      </c>
      <c r="E214" t="s">
        <v>832</v>
      </c>
      <c r="F214" t="s">
        <v>842</v>
      </c>
      <c r="G214">
        <v>86</v>
      </c>
      <c r="H214">
        <v>1</v>
      </c>
      <c r="I214">
        <v>66</v>
      </c>
      <c r="J214">
        <v>72</v>
      </c>
      <c r="K214">
        <v>57</v>
      </c>
      <c r="L214">
        <v>52</v>
      </c>
      <c r="M214">
        <v>66</v>
      </c>
      <c r="N214">
        <f>SUM(Table1[[#This Row],[Math_Marks]:[Social_Marks]])</f>
        <v>313</v>
      </c>
      <c r="O214">
        <f>AVERAGE(Table1[[#This Row],[Math_Marks]:[Social_Marks]])</f>
        <v>62.6</v>
      </c>
      <c r="P214" t="str">
        <f>IF(Table1[[#This Row],[Total_Marks]]&gt;=400,"Top Performer","Need Improvement")</f>
        <v>Need Improvement</v>
      </c>
      <c r="Q214" t="str">
        <f>IF(Table1[[#This Row],[Total_Marks]]&gt;=400,"Excellent",IF(Table1[[#This Row],[Total_Marks]]&gt;=300,"Good",IF(Table1[[#This Row],[Total_Marks]]&gt;=200,"Average","Below Average")))</f>
        <v>Good</v>
      </c>
    </row>
    <row r="215" spans="1:17" x14ac:dyDescent="0.3">
      <c r="A215" t="s">
        <v>226</v>
      </c>
      <c r="B215" t="s">
        <v>750</v>
      </c>
      <c r="C215" t="s">
        <v>828</v>
      </c>
      <c r="D215">
        <v>19</v>
      </c>
      <c r="E215" t="s">
        <v>833</v>
      </c>
      <c r="F215" t="s">
        <v>835</v>
      </c>
      <c r="G215">
        <v>100</v>
      </c>
      <c r="H215">
        <v>5.0999999999999996</v>
      </c>
      <c r="I215">
        <v>87</v>
      </c>
      <c r="J215">
        <v>93</v>
      </c>
      <c r="K215">
        <v>79</v>
      </c>
      <c r="L215">
        <v>64</v>
      </c>
      <c r="M215">
        <v>79</v>
      </c>
      <c r="N215">
        <f>SUM(Table1[[#This Row],[Math_Marks]:[Social_Marks]])</f>
        <v>402</v>
      </c>
      <c r="O215">
        <f>AVERAGE(Table1[[#This Row],[Math_Marks]:[Social_Marks]])</f>
        <v>80.400000000000006</v>
      </c>
      <c r="P215" t="str">
        <f>IF(Table1[[#This Row],[Total_Marks]]&gt;=400,"Top Performer","Need Improvement")</f>
        <v>Top Performer</v>
      </c>
      <c r="Q215" t="str">
        <f>IF(Table1[[#This Row],[Total_Marks]]&gt;=400,"Excellent",IF(Table1[[#This Row],[Total_Marks]]&gt;=300,"Good",IF(Table1[[#This Row],[Total_Marks]]&gt;=200,"Average","Below Average")))</f>
        <v>Excellent</v>
      </c>
    </row>
    <row r="216" spans="1:17" x14ac:dyDescent="0.3">
      <c r="A216" t="s">
        <v>227</v>
      </c>
      <c r="B216" t="s">
        <v>625</v>
      </c>
      <c r="C216" t="s">
        <v>827</v>
      </c>
      <c r="D216">
        <v>22</v>
      </c>
      <c r="E216" t="s">
        <v>831</v>
      </c>
      <c r="F216" t="s">
        <v>842</v>
      </c>
      <c r="G216">
        <v>75</v>
      </c>
      <c r="H216">
        <v>6.1</v>
      </c>
      <c r="I216">
        <v>82</v>
      </c>
      <c r="J216">
        <v>82</v>
      </c>
      <c r="K216">
        <v>77</v>
      </c>
      <c r="L216">
        <v>79</v>
      </c>
      <c r="M216">
        <v>68</v>
      </c>
      <c r="N216">
        <f>SUM(Table1[[#This Row],[Math_Marks]:[Social_Marks]])</f>
        <v>388</v>
      </c>
      <c r="O216">
        <f>AVERAGE(Table1[[#This Row],[Math_Marks]:[Social_Marks]])</f>
        <v>77.599999999999994</v>
      </c>
      <c r="P216" t="str">
        <f>IF(Table1[[#This Row],[Total_Marks]]&gt;=400,"Top Performer","Need Improvement")</f>
        <v>Need Improvement</v>
      </c>
      <c r="Q216" t="str">
        <f>IF(Table1[[#This Row],[Total_Marks]]&gt;=400,"Excellent",IF(Table1[[#This Row],[Total_Marks]]&gt;=300,"Good",IF(Table1[[#This Row],[Total_Marks]]&gt;=200,"Average","Below Average")))</f>
        <v>Good</v>
      </c>
    </row>
    <row r="217" spans="1:17" x14ac:dyDescent="0.3">
      <c r="A217" t="s">
        <v>228</v>
      </c>
      <c r="B217" t="s">
        <v>751</v>
      </c>
      <c r="C217" t="s">
        <v>827</v>
      </c>
      <c r="D217">
        <v>21</v>
      </c>
      <c r="E217" t="s">
        <v>830</v>
      </c>
      <c r="F217" t="s">
        <v>842</v>
      </c>
      <c r="G217">
        <v>92</v>
      </c>
      <c r="H217">
        <v>6.2</v>
      </c>
      <c r="I217">
        <v>79</v>
      </c>
      <c r="J217">
        <v>84</v>
      </c>
      <c r="K217">
        <v>91</v>
      </c>
      <c r="L217">
        <v>98</v>
      </c>
      <c r="M217">
        <v>98</v>
      </c>
      <c r="N217">
        <f>SUM(Table1[[#This Row],[Math_Marks]:[Social_Marks]])</f>
        <v>450</v>
      </c>
      <c r="O217">
        <f>AVERAGE(Table1[[#This Row],[Math_Marks]:[Social_Marks]])</f>
        <v>90</v>
      </c>
      <c r="P217" t="str">
        <f>IF(Table1[[#This Row],[Total_Marks]]&gt;=400,"Top Performer","Need Improvement")</f>
        <v>Top Performer</v>
      </c>
      <c r="Q217" t="str">
        <f>IF(Table1[[#This Row],[Total_Marks]]&gt;=400,"Excellent",IF(Table1[[#This Row],[Total_Marks]]&gt;=300,"Good",IF(Table1[[#This Row],[Total_Marks]]&gt;=200,"Average","Below Average")))</f>
        <v>Excellent</v>
      </c>
    </row>
    <row r="218" spans="1:17" x14ac:dyDescent="0.3">
      <c r="A218" t="s">
        <v>229</v>
      </c>
      <c r="B218" t="s">
        <v>718</v>
      </c>
      <c r="C218" t="s">
        <v>827</v>
      </c>
      <c r="D218">
        <v>18</v>
      </c>
      <c r="E218" t="s">
        <v>830</v>
      </c>
      <c r="F218" t="s">
        <v>838</v>
      </c>
      <c r="G218">
        <v>89</v>
      </c>
      <c r="H218">
        <v>2.1</v>
      </c>
      <c r="I218">
        <v>56</v>
      </c>
      <c r="J218">
        <v>70</v>
      </c>
      <c r="K218">
        <v>54</v>
      </c>
      <c r="L218">
        <v>38</v>
      </c>
      <c r="M218">
        <v>61</v>
      </c>
      <c r="N218">
        <f>SUM(Table1[[#This Row],[Math_Marks]:[Social_Marks]])</f>
        <v>279</v>
      </c>
      <c r="O218">
        <f>AVERAGE(Table1[[#This Row],[Math_Marks]:[Social_Marks]])</f>
        <v>55.8</v>
      </c>
      <c r="P218" t="str">
        <f>IF(Table1[[#This Row],[Total_Marks]]&gt;=400,"Top Performer","Need Improvement")</f>
        <v>Need Improvement</v>
      </c>
      <c r="Q218" t="str">
        <f>IF(Table1[[#This Row],[Total_Marks]]&gt;=400,"Excellent",IF(Table1[[#This Row],[Total_Marks]]&gt;=300,"Good",IF(Table1[[#This Row],[Total_Marks]]&gt;=200,"Average","Below Average")))</f>
        <v>Average</v>
      </c>
    </row>
    <row r="219" spans="1:17" x14ac:dyDescent="0.3">
      <c r="A219" t="s">
        <v>230</v>
      </c>
      <c r="B219" t="s">
        <v>691</v>
      </c>
      <c r="C219" t="s">
        <v>827</v>
      </c>
      <c r="D219">
        <v>19</v>
      </c>
      <c r="E219" t="s">
        <v>830</v>
      </c>
      <c r="F219" t="s">
        <v>835</v>
      </c>
      <c r="G219">
        <v>79</v>
      </c>
      <c r="H219">
        <v>5</v>
      </c>
      <c r="I219">
        <v>54</v>
      </c>
      <c r="J219">
        <v>63</v>
      </c>
      <c r="K219">
        <v>53</v>
      </c>
      <c r="L219">
        <v>45</v>
      </c>
      <c r="M219">
        <v>63</v>
      </c>
      <c r="N219">
        <f>SUM(Table1[[#This Row],[Math_Marks]:[Social_Marks]])</f>
        <v>278</v>
      </c>
      <c r="O219">
        <f>AVERAGE(Table1[[#This Row],[Math_Marks]:[Social_Marks]])</f>
        <v>55.6</v>
      </c>
      <c r="P219" t="str">
        <f>IF(Table1[[#This Row],[Total_Marks]]&gt;=400,"Top Performer","Need Improvement")</f>
        <v>Need Improvement</v>
      </c>
      <c r="Q219" t="str">
        <f>IF(Table1[[#This Row],[Total_Marks]]&gt;=400,"Excellent",IF(Table1[[#This Row],[Total_Marks]]&gt;=300,"Good",IF(Table1[[#This Row],[Total_Marks]]&gt;=200,"Average","Below Average")))</f>
        <v>Average</v>
      </c>
    </row>
    <row r="220" spans="1:17" x14ac:dyDescent="0.3">
      <c r="A220" t="s">
        <v>231</v>
      </c>
      <c r="B220" t="s">
        <v>733</v>
      </c>
      <c r="C220" t="s">
        <v>827</v>
      </c>
      <c r="D220">
        <v>19</v>
      </c>
      <c r="E220" t="s">
        <v>834</v>
      </c>
      <c r="F220" t="s">
        <v>840</v>
      </c>
      <c r="G220">
        <v>88</v>
      </c>
      <c r="H220">
        <v>1.3</v>
      </c>
      <c r="I220">
        <v>51</v>
      </c>
      <c r="J220">
        <v>48</v>
      </c>
      <c r="K220">
        <v>54</v>
      </c>
      <c r="L220">
        <v>56</v>
      </c>
      <c r="M220">
        <v>53</v>
      </c>
      <c r="N220">
        <f>SUM(Table1[[#This Row],[Math_Marks]:[Social_Marks]])</f>
        <v>262</v>
      </c>
      <c r="O220">
        <f>AVERAGE(Table1[[#This Row],[Math_Marks]:[Social_Marks]])</f>
        <v>52.4</v>
      </c>
      <c r="P220" t="str">
        <f>IF(Table1[[#This Row],[Total_Marks]]&gt;=400,"Top Performer","Need Improvement")</f>
        <v>Need Improvement</v>
      </c>
      <c r="Q220" t="str">
        <f>IF(Table1[[#This Row],[Total_Marks]]&gt;=400,"Excellent",IF(Table1[[#This Row],[Total_Marks]]&gt;=300,"Good",IF(Table1[[#This Row],[Total_Marks]]&gt;=200,"Average","Below Average")))</f>
        <v>Average</v>
      </c>
    </row>
    <row r="221" spans="1:17" x14ac:dyDescent="0.3">
      <c r="A221" t="s">
        <v>232</v>
      </c>
      <c r="B221" t="s">
        <v>664</v>
      </c>
      <c r="C221" t="s">
        <v>828</v>
      </c>
      <c r="D221">
        <v>21</v>
      </c>
      <c r="E221" t="s">
        <v>830</v>
      </c>
      <c r="F221" t="s">
        <v>837</v>
      </c>
      <c r="G221">
        <v>84</v>
      </c>
      <c r="H221">
        <v>2.8</v>
      </c>
      <c r="I221">
        <v>41</v>
      </c>
      <c r="J221">
        <v>57</v>
      </c>
      <c r="K221">
        <v>52</v>
      </c>
      <c r="L221">
        <v>36</v>
      </c>
      <c r="M221">
        <v>50</v>
      </c>
      <c r="N221">
        <f>SUM(Table1[[#This Row],[Math_Marks]:[Social_Marks]])</f>
        <v>236</v>
      </c>
      <c r="O221">
        <f>AVERAGE(Table1[[#This Row],[Math_Marks]:[Social_Marks]])</f>
        <v>47.2</v>
      </c>
      <c r="P221" t="str">
        <f>IF(Table1[[#This Row],[Total_Marks]]&gt;=400,"Top Performer","Need Improvement")</f>
        <v>Need Improvement</v>
      </c>
      <c r="Q221" t="str">
        <f>IF(Table1[[#This Row],[Total_Marks]]&gt;=400,"Excellent",IF(Table1[[#This Row],[Total_Marks]]&gt;=300,"Good",IF(Table1[[#This Row],[Total_Marks]]&gt;=200,"Average","Below Average")))</f>
        <v>Average</v>
      </c>
    </row>
    <row r="222" spans="1:17" x14ac:dyDescent="0.3">
      <c r="A222" t="s">
        <v>233</v>
      </c>
      <c r="B222" t="s">
        <v>752</v>
      </c>
      <c r="C222" t="s">
        <v>827</v>
      </c>
      <c r="D222">
        <v>18</v>
      </c>
      <c r="E222" t="s">
        <v>830</v>
      </c>
      <c r="F222" t="s">
        <v>836</v>
      </c>
      <c r="G222">
        <v>69</v>
      </c>
      <c r="H222">
        <v>5.5</v>
      </c>
      <c r="I222">
        <v>72</v>
      </c>
      <c r="J222">
        <v>73</v>
      </c>
      <c r="K222">
        <v>83</v>
      </c>
      <c r="L222">
        <v>59</v>
      </c>
      <c r="M222">
        <v>63</v>
      </c>
      <c r="N222">
        <f>SUM(Table1[[#This Row],[Math_Marks]:[Social_Marks]])</f>
        <v>350</v>
      </c>
      <c r="O222">
        <f>AVERAGE(Table1[[#This Row],[Math_Marks]:[Social_Marks]])</f>
        <v>70</v>
      </c>
      <c r="P222" t="str">
        <f>IF(Table1[[#This Row],[Total_Marks]]&gt;=400,"Top Performer","Need Improvement")</f>
        <v>Need Improvement</v>
      </c>
      <c r="Q222" t="str">
        <f>IF(Table1[[#This Row],[Total_Marks]]&gt;=400,"Excellent",IF(Table1[[#This Row],[Total_Marks]]&gt;=300,"Good",IF(Table1[[#This Row],[Total_Marks]]&gt;=200,"Average","Below Average")))</f>
        <v>Good</v>
      </c>
    </row>
    <row r="223" spans="1:17" x14ac:dyDescent="0.3">
      <c r="A223" t="s">
        <v>234</v>
      </c>
      <c r="B223" t="s">
        <v>663</v>
      </c>
      <c r="C223" t="s">
        <v>827</v>
      </c>
      <c r="D223">
        <v>19</v>
      </c>
      <c r="E223" t="s">
        <v>829</v>
      </c>
      <c r="F223" t="s">
        <v>838</v>
      </c>
      <c r="G223">
        <v>82</v>
      </c>
      <c r="H223">
        <v>5.5</v>
      </c>
      <c r="I223">
        <v>81</v>
      </c>
      <c r="J223">
        <v>86</v>
      </c>
      <c r="K223">
        <v>98</v>
      </c>
      <c r="L223">
        <v>74</v>
      </c>
      <c r="M223">
        <v>94</v>
      </c>
      <c r="N223">
        <f>SUM(Table1[[#This Row],[Math_Marks]:[Social_Marks]])</f>
        <v>433</v>
      </c>
      <c r="O223">
        <f>AVERAGE(Table1[[#This Row],[Math_Marks]:[Social_Marks]])</f>
        <v>86.6</v>
      </c>
      <c r="P223" t="str">
        <f>IF(Table1[[#This Row],[Total_Marks]]&gt;=400,"Top Performer","Need Improvement")</f>
        <v>Top Performer</v>
      </c>
      <c r="Q223" t="str">
        <f>IF(Table1[[#This Row],[Total_Marks]]&gt;=400,"Excellent",IF(Table1[[#This Row],[Total_Marks]]&gt;=300,"Good",IF(Table1[[#This Row],[Total_Marks]]&gt;=200,"Average","Below Average")))</f>
        <v>Excellent</v>
      </c>
    </row>
    <row r="224" spans="1:17" x14ac:dyDescent="0.3">
      <c r="A224" t="s">
        <v>235</v>
      </c>
      <c r="B224" t="s">
        <v>628</v>
      </c>
      <c r="C224" t="s">
        <v>827</v>
      </c>
      <c r="D224">
        <v>22</v>
      </c>
      <c r="E224" t="s">
        <v>829</v>
      </c>
      <c r="F224" t="s">
        <v>835</v>
      </c>
      <c r="G224">
        <v>73</v>
      </c>
      <c r="H224">
        <v>2.2999999999999998</v>
      </c>
      <c r="I224">
        <v>66</v>
      </c>
      <c r="J224">
        <v>57</v>
      </c>
      <c r="K224">
        <v>59</v>
      </c>
      <c r="L224">
        <v>63</v>
      </c>
      <c r="M224">
        <v>50</v>
      </c>
      <c r="N224">
        <f>SUM(Table1[[#This Row],[Math_Marks]:[Social_Marks]])</f>
        <v>295</v>
      </c>
      <c r="O224">
        <f>AVERAGE(Table1[[#This Row],[Math_Marks]:[Social_Marks]])</f>
        <v>59</v>
      </c>
      <c r="P224" t="str">
        <f>IF(Table1[[#This Row],[Total_Marks]]&gt;=400,"Top Performer","Need Improvement")</f>
        <v>Need Improvement</v>
      </c>
      <c r="Q224" t="str">
        <f>IF(Table1[[#This Row],[Total_Marks]]&gt;=400,"Excellent",IF(Table1[[#This Row],[Total_Marks]]&gt;=300,"Good",IF(Table1[[#This Row],[Total_Marks]]&gt;=200,"Average","Below Average")))</f>
        <v>Average</v>
      </c>
    </row>
    <row r="225" spans="1:17" x14ac:dyDescent="0.3">
      <c r="A225" t="s">
        <v>236</v>
      </c>
      <c r="B225" t="s">
        <v>655</v>
      </c>
      <c r="C225" t="s">
        <v>828</v>
      </c>
      <c r="D225">
        <v>21</v>
      </c>
      <c r="E225" t="s">
        <v>834</v>
      </c>
      <c r="F225" t="s">
        <v>839</v>
      </c>
      <c r="G225">
        <v>78</v>
      </c>
      <c r="H225">
        <v>3.1</v>
      </c>
      <c r="I225">
        <v>72</v>
      </c>
      <c r="J225">
        <v>62</v>
      </c>
      <c r="K225">
        <v>63</v>
      </c>
      <c r="L225">
        <v>70</v>
      </c>
      <c r="M225">
        <v>59</v>
      </c>
      <c r="N225">
        <f>SUM(Table1[[#This Row],[Math_Marks]:[Social_Marks]])</f>
        <v>326</v>
      </c>
      <c r="O225">
        <f>AVERAGE(Table1[[#This Row],[Math_Marks]:[Social_Marks]])</f>
        <v>65.2</v>
      </c>
      <c r="P225" t="str">
        <f>IF(Table1[[#This Row],[Total_Marks]]&gt;=400,"Top Performer","Need Improvement")</f>
        <v>Need Improvement</v>
      </c>
      <c r="Q225" t="str">
        <f>IF(Table1[[#This Row],[Total_Marks]]&gt;=400,"Excellent",IF(Table1[[#This Row],[Total_Marks]]&gt;=300,"Good",IF(Table1[[#This Row],[Total_Marks]]&gt;=200,"Average","Below Average")))</f>
        <v>Good</v>
      </c>
    </row>
    <row r="226" spans="1:17" x14ac:dyDescent="0.3">
      <c r="A226" t="s">
        <v>237</v>
      </c>
      <c r="B226" t="s">
        <v>685</v>
      </c>
      <c r="C226" t="s">
        <v>827</v>
      </c>
      <c r="D226">
        <v>22</v>
      </c>
      <c r="E226" t="s">
        <v>830</v>
      </c>
      <c r="F226" t="s">
        <v>839</v>
      </c>
      <c r="G226">
        <v>76</v>
      </c>
      <c r="H226">
        <v>1</v>
      </c>
      <c r="I226">
        <v>30</v>
      </c>
      <c r="J226">
        <v>30</v>
      </c>
      <c r="K226">
        <v>37</v>
      </c>
      <c r="L226">
        <v>30</v>
      </c>
      <c r="M226">
        <v>33</v>
      </c>
      <c r="N226">
        <f>SUM(Table1[[#This Row],[Math_Marks]:[Social_Marks]])</f>
        <v>160</v>
      </c>
      <c r="O226">
        <f>AVERAGE(Table1[[#This Row],[Math_Marks]:[Social_Marks]])</f>
        <v>32</v>
      </c>
      <c r="P226" t="str">
        <f>IF(Table1[[#This Row],[Total_Marks]]&gt;=400,"Top Performer","Need Improvement")</f>
        <v>Need Improvement</v>
      </c>
      <c r="Q226" t="str">
        <f>IF(Table1[[#This Row],[Total_Marks]]&gt;=400,"Excellent",IF(Table1[[#This Row],[Total_Marks]]&gt;=300,"Good",IF(Table1[[#This Row],[Total_Marks]]&gt;=200,"Average","Below Average")))</f>
        <v>Below Average</v>
      </c>
    </row>
    <row r="227" spans="1:17" x14ac:dyDescent="0.3">
      <c r="A227" t="s">
        <v>238</v>
      </c>
      <c r="B227" t="s">
        <v>753</v>
      </c>
      <c r="C227" t="s">
        <v>828</v>
      </c>
      <c r="D227">
        <v>19</v>
      </c>
      <c r="E227" t="s">
        <v>833</v>
      </c>
      <c r="F227" t="s">
        <v>841</v>
      </c>
      <c r="G227">
        <v>87</v>
      </c>
      <c r="H227">
        <v>3.8</v>
      </c>
      <c r="I227">
        <v>59</v>
      </c>
      <c r="J227">
        <v>65</v>
      </c>
      <c r="K227">
        <v>67</v>
      </c>
      <c r="L227">
        <v>55</v>
      </c>
      <c r="M227">
        <v>62</v>
      </c>
      <c r="N227">
        <f>SUM(Table1[[#This Row],[Math_Marks]:[Social_Marks]])</f>
        <v>308</v>
      </c>
      <c r="O227">
        <f>AVERAGE(Table1[[#This Row],[Math_Marks]:[Social_Marks]])</f>
        <v>61.6</v>
      </c>
      <c r="P227" t="str">
        <f>IF(Table1[[#This Row],[Total_Marks]]&gt;=400,"Top Performer","Need Improvement")</f>
        <v>Need Improvement</v>
      </c>
      <c r="Q227" t="str">
        <f>IF(Table1[[#This Row],[Total_Marks]]&gt;=400,"Excellent",IF(Table1[[#This Row],[Total_Marks]]&gt;=300,"Good",IF(Table1[[#This Row],[Total_Marks]]&gt;=200,"Average","Below Average")))</f>
        <v>Good</v>
      </c>
    </row>
    <row r="228" spans="1:17" x14ac:dyDescent="0.3">
      <c r="A228" t="s">
        <v>239</v>
      </c>
      <c r="B228" t="s">
        <v>754</v>
      </c>
      <c r="C228" t="s">
        <v>828</v>
      </c>
      <c r="D228">
        <v>20</v>
      </c>
      <c r="E228" t="s">
        <v>830</v>
      </c>
      <c r="F228" t="s">
        <v>837</v>
      </c>
      <c r="G228">
        <v>79</v>
      </c>
      <c r="H228">
        <v>6.5</v>
      </c>
      <c r="I228">
        <v>70</v>
      </c>
      <c r="J228">
        <v>68</v>
      </c>
      <c r="K228">
        <v>67</v>
      </c>
      <c r="L228">
        <v>67</v>
      </c>
      <c r="M228">
        <v>69</v>
      </c>
      <c r="N228">
        <f>SUM(Table1[[#This Row],[Math_Marks]:[Social_Marks]])</f>
        <v>341</v>
      </c>
      <c r="O228">
        <f>AVERAGE(Table1[[#This Row],[Math_Marks]:[Social_Marks]])</f>
        <v>68.2</v>
      </c>
      <c r="P228" t="str">
        <f>IF(Table1[[#This Row],[Total_Marks]]&gt;=400,"Top Performer","Need Improvement")</f>
        <v>Need Improvement</v>
      </c>
      <c r="Q228" t="str">
        <f>IF(Table1[[#This Row],[Total_Marks]]&gt;=400,"Excellent",IF(Table1[[#This Row],[Total_Marks]]&gt;=300,"Good",IF(Table1[[#This Row],[Total_Marks]]&gt;=200,"Average","Below Average")))</f>
        <v>Good</v>
      </c>
    </row>
    <row r="229" spans="1:17" x14ac:dyDescent="0.3">
      <c r="A229" t="s">
        <v>240</v>
      </c>
      <c r="B229" t="s">
        <v>755</v>
      </c>
      <c r="C229" t="s">
        <v>827</v>
      </c>
      <c r="D229">
        <v>22</v>
      </c>
      <c r="E229" t="s">
        <v>829</v>
      </c>
      <c r="F229" t="s">
        <v>836</v>
      </c>
      <c r="G229">
        <v>84</v>
      </c>
      <c r="H229">
        <v>3.8</v>
      </c>
      <c r="I229">
        <v>65</v>
      </c>
      <c r="J229">
        <v>77</v>
      </c>
      <c r="K229">
        <v>64</v>
      </c>
      <c r="L229">
        <v>79</v>
      </c>
      <c r="M229">
        <v>88</v>
      </c>
      <c r="N229">
        <f>SUM(Table1[[#This Row],[Math_Marks]:[Social_Marks]])</f>
        <v>373</v>
      </c>
      <c r="O229">
        <f>AVERAGE(Table1[[#This Row],[Math_Marks]:[Social_Marks]])</f>
        <v>74.599999999999994</v>
      </c>
      <c r="P229" t="str">
        <f>IF(Table1[[#This Row],[Total_Marks]]&gt;=400,"Top Performer","Need Improvement")</f>
        <v>Need Improvement</v>
      </c>
      <c r="Q229" t="str">
        <f>IF(Table1[[#This Row],[Total_Marks]]&gt;=400,"Excellent",IF(Table1[[#This Row],[Total_Marks]]&gt;=300,"Good",IF(Table1[[#This Row],[Total_Marks]]&gt;=200,"Average","Below Average")))</f>
        <v>Good</v>
      </c>
    </row>
    <row r="230" spans="1:17" x14ac:dyDescent="0.3">
      <c r="A230" t="s">
        <v>241</v>
      </c>
      <c r="B230" t="s">
        <v>756</v>
      </c>
      <c r="C230" t="s">
        <v>827</v>
      </c>
      <c r="D230">
        <v>19</v>
      </c>
      <c r="E230" t="s">
        <v>831</v>
      </c>
      <c r="F230" t="s">
        <v>842</v>
      </c>
      <c r="G230">
        <v>93</v>
      </c>
      <c r="H230">
        <v>4.5999999999999996</v>
      </c>
      <c r="I230">
        <v>80</v>
      </c>
      <c r="J230">
        <v>75</v>
      </c>
      <c r="K230">
        <v>81</v>
      </c>
      <c r="L230">
        <v>79</v>
      </c>
      <c r="M230">
        <v>84</v>
      </c>
      <c r="N230">
        <f>SUM(Table1[[#This Row],[Math_Marks]:[Social_Marks]])</f>
        <v>399</v>
      </c>
      <c r="O230">
        <f>AVERAGE(Table1[[#This Row],[Math_Marks]:[Social_Marks]])</f>
        <v>79.8</v>
      </c>
      <c r="P230" t="str">
        <f>IF(Table1[[#This Row],[Total_Marks]]&gt;=400,"Top Performer","Need Improvement")</f>
        <v>Need Improvement</v>
      </c>
      <c r="Q230" t="str">
        <f>IF(Table1[[#This Row],[Total_Marks]]&gt;=400,"Excellent",IF(Table1[[#This Row],[Total_Marks]]&gt;=300,"Good",IF(Table1[[#This Row],[Total_Marks]]&gt;=200,"Average","Below Average")))</f>
        <v>Good</v>
      </c>
    </row>
    <row r="231" spans="1:17" x14ac:dyDescent="0.3">
      <c r="A231" t="s">
        <v>242</v>
      </c>
      <c r="B231" t="s">
        <v>670</v>
      </c>
      <c r="C231" t="s">
        <v>827</v>
      </c>
      <c r="D231">
        <v>19</v>
      </c>
      <c r="E231" t="s">
        <v>830</v>
      </c>
      <c r="F231" t="s">
        <v>839</v>
      </c>
      <c r="G231">
        <v>76</v>
      </c>
      <c r="H231">
        <v>6.4</v>
      </c>
      <c r="I231">
        <v>81</v>
      </c>
      <c r="J231">
        <v>76</v>
      </c>
      <c r="K231">
        <v>70</v>
      </c>
      <c r="L231">
        <v>75</v>
      </c>
      <c r="M231">
        <v>86</v>
      </c>
      <c r="N231">
        <f>SUM(Table1[[#This Row],[Math_Marks]:[Social_Marks]])</f>
        <v>388</v>
      </c>
      <c r="O231">
        <f>AVERAGE(Table1[[#This Row],[Math_Marks]:[Social_Marks]])</f>
        <v>77.599999999999994</v>
      </c>
      <c r="P231" t="str">
        <f>IF(Table1[[#This Row],[Total_Marks]]&gt;=400,"Top Performer","Need Improvement")</f>
        <v>Need Improvement</v>
      </c>
      <c r="Q231" t="str">
        <f>IF(Table1[[#This Row],[Total_Marks]]&gt;=400,"Excellent",IF(Table1[[#This Row],[Total_Marks]]&gt;=300,"Good",IF(Table1[[#This Row],[Total_Marks]]&gt;=200,"Average","Below Average")))</f>
        <v>Good</v>
      </c>
    </row>
    <row r="232" spans="1:17" x14ac:dyDescent="0.3">
      <c r="A232" t="s">
        <v>243</v>
      </c>
      <c r="B232" t="s">
        <v>676</v>
      </c>
      <c r="C232" t="s">
        <v>827</v>
      </c>
      <c r="D232">
        <v>19</v>
      </c>
      <c r="E232" t="s">
        <v>830</v>
      </c>
      <c r="F232" t="s">
        <v>837</v>
      </c>
      <c r="G232">
        <v>98</v>
      </c>
      <c r="H232">
        <v>3.5</v>
      </c>
      <c r="I232">
        <v>69</v>
      </c>
      <c r="J232">
        <v>59</v>
      </c>
      <c r="K232">
        <v>53</v>
      </c>
      <c r="L232">
        <v>51</v>
      </c>
      <c r="M232">
        <v>63</v>
      </c>
      <c r="N232">
        <f>SUM(Table1[[#This Row],[Math_Marks]:[Social_Marks]])</f>
        <v>295</v>
      </c>
      <c r="O232">
        <f>AVERAGE(Table1[[#This Row],[Math_Marks]:[Social_Marks]])</f>
        <v>59</v>
      </c>
      <c r="P232" t="str">
        <f>IF(Table1[[#This Row],[Total_Marks]]&gt;=400,"Top Performer","Need Improvement")</f>
        <v>Need Improvement</v>
      </c>
      <c r="Q232" t="str">
        <f>IF(Table1[[#This Row],[Total_Marks]]&gt;=400,"Excellent",IF(Table1[[#This Row],[Total_Marks]]&gt;=300,"Good",IF(Table1[[#This Row],[Total_Marks]]&gt;=200,"Average","Below Average")))</f>
        <v>Average</v>
      </c>
    </row>
    <row r="233" spans="1:17" x14ac:dyDescent="0.3">
      <c r="A233" t="s">
        <v>244</v>
      </c>
      <c r="B233" t="s">
        <v>757</v>
      </c>
      <c r="C233" t="s">
        <v>827</v>
      </c>
      <c r="D233">
        <v>18</v>
      </c>
      <c r="E233" t="s">
        <v>829</v>
      </c>
      <c r="F233" t="s">
        <v>839</v>
      </c>
      <c r="G233">
        <v>84</v>
      </c>
      <c r="H233">
        <v>4</v>
      </c>
      <c r="I233">
        <v>73</v>
      </c>
      <c r="J233">
        <v>57</v>
      </c>
      <c r="K233">
        <v>51</v>
      </c>
      <c r="L233">
        <v>69</v>
      </c>
      <c r="M233">
        <v>69</v>
      </c>
      <c r="N233">
        <f>SUM(Table1[[#This Row],[Math_Marks]:[Social_Marks]])</f>
        <v>319</v>
      </c>
      <c r="O233">
        <f>AVERAGE(Table1[[#This Row],[Math_Marks]:[Social_Marks]])</f>
        <v>63.8</v>
      </c>
      <c r="P233" t="str">
        <f>IF(Table1[[#This Row],[Total_Marks]]&gt;=400,"Top Performer","Need Improvement")</f>
        <v>Need Improvement</v>
      </c>
      <c r="Q233" t="str">
        <f>IF(Table1[[#This Row],[Total_Marks]]&gt;=400,"Excellent",IF(Table1[[#This Row],[Total_Marks]]&gt;=300,"Good",IF(Table1[[#This Row],[Total_Marks]]&gt;=200,"Average","Below Average")))</f>
        <v>Good</v>
      </c>
    </row>
    <row r="234" spans="1:17" x14ac:dyDescent="0.3">
      <c r="A234" t="s">
        <v>245</v>
      </c>
      <c r="B234" t="s">
        <v>615</v>
      </c>
      <c r="C234" t="s">
        <v>828</v>
      </c>
      <c r="D234">
        <v>22</v>
      </c>
      <c r="E234" t="s">
        <v>829</v>
      </c>
      <c r="F234" t="s">
        <v>837</v>
      </c>
      <c r="G234">
        <v>89</v>
      </c>
      <c r="H234">
        <v>3.7</v>
      </c>
      <c r="I234">
        <v>59</v>
      </c>
      <c r="J234">
        <v>78</v>
      </c>
      <c r="K234">
        <v>48</v>
      </c>
      <c r="L234">
        <v>66</v>
      </c>
      <c r="M234">
        <v>49</v>
      </c>
      <c r="N234">
        <f>SUM(Table1[[#This Row],[Math_Marks]:[Social_Marks]])</f>
        <v>300</v>
      </c>
      <c r="O234">
        <f>AVERAGE(Table1[[#This Row],[Math_Marks]:[Social_Marks]])</f>
        <v>60</v>
      </c>
      <c r="P234" t="str">
        <f>IF(Table1[[#This Row],[Total_Marks]]&gt;=400,"Top Performer","Need Improvement")</f>
        <v>Need Improvement</v>
      </c>
      <c r="Q234" t="str">
        <f>IF(Table1[[#This Row],[Total_Marks]]&gt;=400,"Excellent",IF(Table1[[#This Row],[Total_Marks]]&gt;=300,"Good",IF(Table1[[#This Row],[Total_Marks]]&gt;=200,"Average","Below Average")))</f>
        <v>Good</v>
      </c>
    </row>
    <row r="235" spans="1:17" x14ac:dyDescent="0.3">
      <c r="A235" t="s">
        <v>246</v>
      </c>
      <c r="B235" t="s">
        <v>758</v>
      </c>
      <c r="C235" t="s">
        <v>827</v>
      </c>
      <c r="D235">
        <v>20</v>
      </c>
      <c r="E235" t="s">
        <v>834</v>
      </c>
      <c r="F235" t="s">
        <v>839</v>
      </c>
      <c r="G235">
        <v>85</v>
      </c>
      <c r="H235">
        <v>3.2</v>
      </c>
      <c r="I235">
        <v>55</v>
      </c>
      <c r="J235">
        <v>59</v>
      </c>
      <c r="K235">
        <v>60</v>
      </c>
      <c r="L235">
        <v>51</v>
      </c>
      <c r="M235">
        <v>48</v>
      </c>
      <c r="N235">
        <f>SUM(Table1[[#This Row],[Math_Marks]:[Social_Marks]])</f>
        <v>273</v>
      </c>
      <c r="O235">
        <f>AVERAGE(Table1[[#This Row],[Math_Marks]:[Social_Marks]])</f>
        <v>54.6</v>
      </c>
      <c r="P235" t="str">
        <f>IF(Table1[[#This Row],[Total_Marks]]&gt;=400,"Top Performer","Need Improvement")</f>
        <v>Need Improvement</v>
      </c>
      <c r="Q235" t="str">
        <f>IF(Table1[[#This Row],[Total_Marks]]&gt;=400,"Excellent",IF(Table1[[#This Row],[Total_Marks]]&gt;=300,"Good",IF(Table1[[#This Row],[Total_Marks]]&gt;=200,"Average","Below Average")))</f>
        <v>Average</v>
      </c>
    </row>
    <row r="236" spans="1:17" x14ac:dyDescent="0.3">
      <c r="A236" t="s">
        <v>247</v>
      </c>
      <c r="B236" t="s">
        <v>615</v>
      </c>
      <c r="C236" t="s">
        <v>828</v>
      </c>
      <c r="D236">
        <v>20</v>
      </c>
      <c r="E236" t="s">
        <v>832</v>
      </c>
      <c r="F236" t="s">
        <v>840</v>
      </c>
      <c r="G236">
        <v>73</v>
      </c>
      <c r="H236">
        <v>4.0999999999999996</v>
      </c>
      <c r="I236">
        <v>52</v>
      </c>
      <c r="J236">
        <v>70</v>
      </c>
      <c r="K236">
        <v>85</v>
      </c>
      <c r="L236">
        <v>72</v>
      </c>
      <c r="M236">
        <v>78</v>
      </c>
      <c r="N236">
        <f>SUM(Table1[[#This Row],[Math_Marks]:[Social_Marks]])</f>
        <v>357</v>
      </c>
      <c r="O236">
        <f>AVERAGE(Table1[[#This Row],[Math_Marks]:[Social_Marks]])</f>
        <v>71.400000000000006</v>
      </c>
      <c r="P236" t="str">
        <f>IF(Table1[[#This Row],[Total_Marks]]&gt;=400,"Top Performer","Need Improvement")</f>
        <v>Need Improvement</v>
      </c>
      <c r="Q236" t="str">
        <f>IF(Table1[[#This Row],[Total_Marks]]&gt;=400,"Excellent",IF(Table1[[#This Row],[Total_Marks]]&gt;=300,"Good",IF(Table1[[#This Row],[Total_Marks]]&gt;=200,"Average","Below Average")))</f>
        <v>Good</v>
      </c>
    </row>
    <row r="237" spans="1:17" x14ac:dyDescent="0.3">
      <c r="A237" t="s">
        <v>248</v>
      </c>
      <c r="B237" t="s">
        <v>759</v>
      </c>
      <c r="C237" t="s">
        <v>828</v>
      </c>
      <c r="D237">
        <v>21</v>
      </c>
      <c r="E237" t="s">
        <v>830</v>
      </c>
      <c r="F237" t="s">
        <v>841</v>
      </c>
      <c r="G237">
        <v>74</v>
      </c>
      <c r="H237">
        <v>2.4</v>
      </c>
      <c r="I237">
        <v>77</v>
      </c>
      <c r="J237">
        <v>58</v>
      </c>
      <c r="K237">
        <v>73</v>
      </c>
      <c r="L237">
        <v>65</v>
      </c>
      <c r="M237">
        <v>68</v>
      </c>
      <c r="N237">
        <f>SUM(Table1[[#This Row],[Math_Marks]:[Social_Marks]])</f>
        <v>341</v>
      </c>
      <c r="O237">
        <f>AVERAGE(Table1[[#This Row],[Math_Marks]:[Social_Marks]])</f>
        <v>68.2</v>
      </c>
      <c r="P237" t="str">
        <f>IF(Table1[[#This Row],[Total_Marks]]&gt;=400,"Top Performer","Need Improvement")</f>
        <v>Need Improvement</v>
      </c>
      <c r="Q237" t="str">
        <f>IF(Table1[[#This Row],[Total_Marks]]&gt;=400,"Excellent",IF(Table1[[#This Row],[Total_Marks]]&gt;=300,"Good",IF(Table1[[#This Row],[Total_Marks]]&gt;=200,"Average","Below Average")))</f>
        <v>Good</v>
      </c>
    </row>
    <row r="238" spans="1:17" x14ac:dyDescent="0.3">
      <c r="A238" t="s">
        <v>249</v>
      </c>
      <c r="B238" t="s">
        <v>760</v>
      </c>
      <c r="C238" t="s">
        <v>827</v>
      </c>
      <c r="D238">
        <v>22</v>
      </c>
      <c r="E238" t="s">
        <v>832</v>
      </c>
      <c r="F238" t="s">
        <v>840</v>
      </c>
      <c r="G238">
        <v>94</v>
      </c>
      <c r="H238">
        <v>4.3</v>
      </c>
      <c r="I238">
        <v>67</v>
      </c>
      <c r="J238">
        <v>91</v>
      </c>
      <c r="K238">
        <v>77</v>
      </c>
      <c r="L238">
        <v>79</v>
      </c>
      <c r="M238">
        <v>60</v>
      </c>
      <c r="N238">
        <f>SUM(Table1[[#This Row],[Math_Marks]:[Social_Marks]])</f>
        <v>374</v>
      </c>
      <c r="O238">
        <f>AVERAGE(Table1[[#This Row],[Math_Marks]:[Social_Marks]])</f>
        <v>74.8</v>
      </c>
      <c r="P238" t="str">
        <f>IF(Table1[[#This Row],[Total_Marks]]&gt;=400,"Top Performer","Need Improvement")</f>
        <v>Need Improvement</v>
      </c>
      <c r="Q238" t="str">
        <f>IF(Table1[[#This Row],[Total_Marks]]&gt;=400,"Excellent",IF(Table1[[#This Row],[Total_Marks]]&gt;=300,"Good",IF(Table1[[#This Row],[Total_Marks]]&gt;=200,"Average","Below Average")))</f>
        <v>Good</v>
      </c>
    </row>
    <row r="239" spans="1:17" x14ac:dyDescent="0.3">
      <c r="A239" t="s">
        <v>250</v>
      </c>
      <c r="B239" t="s">
        <v>688</v>
      </c>
      <c r="C239" t="s">
        <v>827</v>
      </c>
      <c r="D239">
        <v>19</v>
      </c>
      <c r="E239" t="s">
        <v>831</v>
      </c>
      <c r="F239" t="s">
        <v>839</v>
      </c>
      <c r="G239">
        <v>64</v>
      </c>
      <c r="H239">
        <v>5.4</v>
      </c>
      <c r="I239">
        <v>74</v>
      </c>
      <c r="J239">
        <v>62</v>
      </c>
      <c r="K239">
        <v>65</v>
      </c>
      <c r="L239">
        <v>72</v>
      </c>
      <c r="M239">
        <v>56</v>
      </c>
      <c r="N239">
        <f>SUM(Table1[[#This Row],[Math_Marks]:[Social_Marks]])</f>
        <v>329</v>
      </c>
      <c r="O239">
        <f>AVERAGE(Table1[[#This Row],[Math_Marks]:[Social_Marks]])</f>
        <v>65.8</v>
      </c>
      <c r="P239" t="str">
        <f>IF(Table1[[#This Row],[Total_Marks]]&gt;=400,"Top Performer","Need Improvement")</f>
        <v>Need Improvement</v>
      </c>
      <c r="Q239" t="str">
        <f>IF(Table1[[#This Row],[Total_Marks]]&gt;=400,"Excellent",IF(Table1[[#This Row],[Total_Marks]]&gt;=300,"Good",IF(Table1[[#This Row],[Total_Marks]]&gt;=200,"Average","Below Average")))</f>
        <v>Good</v>
      </c>
    </row>
    <row r="240" spans="1:17" x14ac:dyDescent="0.3">
      <c r="A240" t="s">
        <v>251</v>
      </c>
      <c r="B240" t="s">
        <v>640</v>
      </c>
      <c r="C240" t="s">
        <v>828</v>
      </c>
      <c r="D240">
        <v>21</v>
      </c>
      <c r="E240" t="s">
        <v>831</v>
      </c>
      <c r="F240" t="s">
        <v>838</v>
      </c>
      <c r="G240">
        <v>70</v>
      </c>
      <c r="H240">
        <v>1.3</v>
      </c>
      <c r="I240">
        <v>53</v>
      </c>
      <c r="J240">
        <v>54</v>
      </c>
      <c r="K240">
        <v>43</v>
      </c>
      <c r="L240">
        <v>52</v>
      </c>
      <c r="M240">
        <v>57</v>
      </c>
      <c r="N240">
        <f>SUM(Table1[[#This Row],[Math_Marks]:[Social_Marks]])</f>
        <v>259</v>
      </c>
      <c r="O240">
        <f>AVERAGE(Table1[[#This Row],[Math_Marks]:[Social_Marks]])</f>
        <v>51.8</v>
      </c>
      <c r="P240" t="str">
        <f>IF(Table1[[#This Row],[Total_Marks]]&gt;=400,"Top Performer","Need Improvement")</f>
        <v>Need Improvement</v>
      </c>
      <c r="Q240" t="str">
        <f>IF(Table1[[#This Row],[Total_Marks]]&gt;=400,"Excellent",IF(Table1[[#This Row],[Total_Marks]]&gt;=300,"Good",IF(Table1[[#This Row],[Total_Marks]]&gt;=200,"Average","Below Average")))</f>
        <v>Average</v>
      </c>
    </row>
    <row r="241" spans="1:17" x14ac:dyDescent="0.3">
      <c r="A241" t="s">
        <v>252</v>
      </c>
      <c r="B241" t="s">
        <v>641</v>
      </c>
      <c r="C241" t="s">
        <v>827</v>
      </c>
      <c r="D241">
        <v>21</v>
      </c>
      <c r="E241" t="s">
        <v>834</v>
      </c>
      <c r="F241" t="s">
        <v>837</v>
      </c>
      <c r="G241">
        <v>75</v>
      </c>
      <c r="H241">
        <v>2.8</v>
      </c>
      <c r="I241">
        <v>71</v>
      </c>
      <c r="J241">
        <v>65</v>
      </c>
      <c r="K241">
        <v>68</v>
      </c>
      <c r="L241">
        <v>80</v>
      </c>
      <c r="M241">
        <v>81</v>
      </c>
      <c r="N241">
        <f>SUM(Table1[[#This Row],[Math_Marks]:[Social_Marks]])</f>
        <v>365</v>
      </c>
      <c r="O241">
        <f>AVERAGE(Table1[[#This Row],[Math_Marks]:[Social_Marks]])</f>
        <v>73</v>
      </c>
      <c r="P241" t="str">
        <f>IF(Table1[[#This Row],[Total_Marks]]&gt;=400,"Top Performer","Need Improvement")</f>
        <v>Need Improvement</v>
      </c>
      <c r="Q241" t="str">
        <f>IF(Table1[[#This Row],[Total_Marks]]&gt;=400,"Excellent",IF(Table1[[#This Row],[Total_Marks]]&gt;=300,"Good",IF(Table1[[#This Row],[Total_Marks]]&gt;=200,"Average","Below Average")))</f>
        <v>Good</v>
      </c>
    </row>
    <row r="242" spans="1:17" x14ac:dyDescent="0.3">
      <c r="A242" t="s">
        <v>253</v>
      </c>
      <c r="B242" t="s">
        <v>669</v>
      </c>
      <c r="C242" t="s">
        <v>828</v>
      </c>
      <c r="D242">
        <v>20</v>
      </c>
      <c r="E242" t="s">
        <v>832</v>
      </c>
      <c r="F242" t="s">
        <v>841</v>
      </c>
      <c r="G242">
        <v>73</v>
      </c>
      <c r="H242">
        <v>3.7</v>
      </c>
      <c r="I242">
        <v>71</v>
      </c>
      <c r="J242">
        <v>72</v>
      </c>
      <c r="K242">
        <v>59</v>
      </c>
      <c r="L242">
        <v>60</v>
      </c>
      <c r="M242">
        <v>67</v>
      </c>
      <c r="N242">
        <f>SUM(Table1[[#This Row],[Math_Marks]:[Social_Marks]])</f>
        <v>329</v>
      </c>
      <c r="O242">
        <f>AVERAGE(Table1[[#This Row],[Math_Marks]:[Social_Marks]])</f>
        <v>65.8</v>
      </c>
      <c r="P242" t="str">
        <f>IF(Table1[[#This Row],[Total_Marks]]&gt;=400,"Top Performer","Need Improvement")</f>
        <v>Need Improvement</v>
      </c>
      <c r="Q242" t="str">
        <f>IF(Table1[[#This Row],[Total_Marks]]&gt;=400,"Excellent",IF(Table1[[#This Row],[Total_Marks]]&gt;=300,"Good",IF(Table1[[#This Row],[Total_Marks]]&gt;=200,"Average","Below Average")))</f>
        <v>Good</v>
      </c>
    </row>
    <row r="243" spans="1:17" x14ac:dyDescent="0.3">
      <c r="A243" t="s">
        <v>254</v>
      </c>
      <c r="B243" t="s">
        <v>662</v>
      </c>
      <c r="C243" t="s">
        <v>828</v>
      </c>
      <c r="D243">
        <v>18</v>
      </c>
      <c r="E243" t="s">
        <v>830</v>
      </c>
      <c r="F243" t="s">
        <v>839</v>
      </c>
      <c r="G243">
        <v>73</v>
      </c>
      <c r="H243">
        <v>2.4</v>
      </c>
      <c r="I243">
        <v>66</v>
      </c>
      <c r="J243">
        <v>80</v>
      </c>
      <c r="K243">
        <v>63</v>
      </c>
      <c r="L243">
        <v>69</v>
      </c>
      <c r="M243">
        <v>86</v>
      </c>
      <c r="N243">
        <f>SUM(Table1[[#This Row],[Math_Marks]:[Social_Marks]])</f>
        <v>364</v>
      </c>
      <c r="O243">
        <f>AVERAGE(Table1[[#This Row],[Math_Marks]:[Social_Marks]])</f>
        <v>72.8</v>
      </c>
      <c r="P243" t="str">
        <f>IF(Table1[[#This Row],[Total_Marks]]&gt;=400,"Top Performer","Need Improvement")</f>
        <v>Need Improvement</v>
      </c>
      <c r="Q243" t="str">
        <f>IF(Table1[[#This Row],[Total_Marks]]&gt;=400,"Excellent",IF(Table1[[#This Row],[Total_Marks]]&gt;=300,"Good",IF(Table1[[#This Row],[Total_Marks]]&gt;=200,"Average","Below Average")))</f>
        <v>Good</v>
      </c>
    </row>
    <row r="244" spans="1:17" x14ac:dyDescent="0.3">
      <c r="A244" t="s">
        <v>255</v>
      </c>
      <c r="B244" t="s">
        <v>732</v>
      </c>
      <c r="C244" t="s">
        <v>827</v>
      </c>
      <c r="D244">
        <v>22</v>
      </c>
      <c r="E244" t="s">
        <v>832</v>
      </c>
      <c r="F244" t="s">
        <v>836</v>
      </c>
      <c r="G244">
        <v>93</v>
      </c>
      <c r="H244">
        <v>2.6</v>
      </c>
      <c r="I244">
        <v>57</v>
      </c>
      <c r="J244">
        <v>64</v>
      </c>
      <c r="K244">
        <v>54</v>
      </c>
      <c r="L244">
        <v>60</v>
      </c>
      <c r="M244">
        <v>65</v>
      </c>
      <c r="N244">
        <f>SUM(Table1[[#This Row],[Math_Marks]:[Social_Marks]])</f>
        <v>300</v>
      </c>
      <c r="O244">
        <f>AVERAGE(Table1[[#This Row],[Math_Marks]:[Social_Marks]])</f>
        <v>60</v>
      </c>
      <c r="P244" t="str">
        <f>IF(Table1[[#This Row],[Total_Marks]]&gt;=400,"Top Performer","Need Improvement")</f>
        <v>Need Improvement</v>
      </c>
      <c r="Q244" t="str">
        <f>IF(Table1[[#This Row],[Total_Marks]]&gt;=400,"Excellent",IF(Table1[[#This Row],[Total_Marks]]&gt;=300,"Good",IF(Table1[[#This Row],[Total_Marks]]&gt;=200,"Average","Below Average")))</f>
        <v>Good</v>
      </c>
    </row>
    <row r="245" spans="1:17" x14ac:dyDescent="0.3">
      <c r="A245" t="s">
        <v>256</v>
      </c>
      <c r="B245" t="s">
        <v>658</v>
      </c>
      <c r="C245" t="s">
        <v>827</v>
      </c>
      <c r="D245">
        <v>20</v>
      </c>
      <c r="E245" t="s">
        <v>829</v>
      </c>
      <c r="F245" t="s">
        <v>836</v>
      </c>
      <c r="G245">
        <v>69</v>
      </c>
      <c r="H245">
        <v>3.2</v>
      </c>
      <c r="I245">
        <v>57</v>
      </c>
      <c r="J245">
        <v>58</v>
      </c>
      <c r="K245">
        <v>60</v>
      </c>
      <c r="L245">
        <v>55</v>
      </c>
      <c r="M245">
        <v>65</v>
      </c>
      <c r="N245">
        <f>SUM(Table1[[#This Row],[Math_Marks]:[Social_Marks]])</f>
        <v>295</v>
      </c>
      <c r="O245">
        <f>AVERAGE(Table1[[#This Row],[Math_Marks]:[Social_Marks]])</f>
        <v>59</v>
      </c>
      <c r="P245" t="str">
        <f>IF(Table1[[#This Row],[Total_Marks]]&gt;=400,"Top Performer","Need Improvement")</f>
        <v>Need Improvement</v>
      </c>
      <c r="Q245" t="str">
        <f>IF(Table1[[#This Row],[Total_Marks]]&gt;=400,"Excellent",IF(Table1[[#This Row],[Total_Marks]]&gt;=300,"Good",IF(Table1[[#This Row],[Total_Marks]]&gt;=200,"Average","Below Average")))</f>
        <v>Average</v>
      </c>
    </row>
    <row r="246" spans="1:17" x14ac:dyDescent="0.3">
      <c r="A246" t="s">
        <v>257</v>
      </c>
      <c r="B246" t="s">
        <v>659</v>
      </c>
      <c r="C246" t="s">
        <v>827</v>
      </c>
      <c r="D246">
        <v>20</v>
      </c>
      <c r="E246" t="s">
        <v>832</v>
      </c>
      <c r="F246" t="s">
        <v>839</v>
      </c>
      <c r="G246">
        <v>79</v>
      </c>
      <c r="H246">
        <v>4.3</v>
      </c>
      <c r="I246">
        <v>81</v>
      </c>
      <c r="J246">
        <v>62</v>
      </c>
      <c r="K246">
        <v>80</v>
      </c>
      <c r="L246">
        <v>86</v>
      </c>
      <c r="M246">
        <v>75</v>
      </c>
      <c r="N246">
        <f>SUM(Table1[[#This Row],[Math_Marks]:[Social_Marks]])</f>
        <v>384</v>
      </c>
      <c r="O246">
        <f>AVERAGE(Table1[[#This Row],[Math_Marks]:[Social_Marks]])</f>
        <v>76.8</v>
      </c>
      <c r="P246" t="str">
        <f>IF(Table1[[#This Row],[Total_Marks]]&gt;=400,"Top Performer","Need Improvement")</f>
        <v>Need Improvement</v>
      </c>
      <c r="Q246" t="str">
        <f>IF(Table1[[#This Row],[Total_Marks]]&gt;=400,"Excellent",IF(Table1[[#This Row],[Total_Marks]]&gt;=300,"Good",IF(Table1[[#This Row],[Total_Marks]]&gt;=200,"Average","Below Average")))</f>
        <v>Good</v>
      </c>
    </row>
    <row r="247" spans="1:17" x14ac:dyDescent="0.3">
      <c r="A247" t="s">
        <v>258</v>
      </c>
      <c r="B247" t="s">
        <v>761</v>
      </c>
      <c r="C247" t="s">
        <v>828</v>
      </c>
      <c r="D247">
        <v>18</v>
      </c>
      <c r="E247" t="s">
        <v>834</v>
      </c>
      <c r="F247" t="s">
        <v>836</v>
      </c>
      <c r="G247">
        <v>83</v>
      </c>
      <c r="H247">
        <v>1.2</v>
      </c>
      <c r="I247">
        <v>63</v>
      </c>
      <c r="J247">
        <v>37</v>
      </c>
      <c r="K247">
        <v>42</v>
      </c>
      <c r="L247">
        <v>44</v>
      </c>
      <c r="M247">
        <v>52</v>
      </c>
      <c r="N247">
        <f>SUM(Table1[[#This Row],[Math_Marks]:[Social_Marks]])</f>
        <v>238</v>
      </c>
      <c r="O247">
        <f>AVERAGE(Table1[[#This Row],[Math_Marks]:[Social_Marks]])</f>
        <v>47.6</v>
      </c>
      <c r="P247" t="str">
        <f>IF(Table1[[#This Row],[Total_Marks]]&gt;=400,"Top Performer","Need Improvement")</f>
        <v>Need Improvement</v>
      </c>
      <c r="Q247" t="str">
        <f>IF(Table1[[#This Row],[Total_Marks]]&gt;=400,"Excellent",IF(Table1[[#This Row],[Total_Marks]]&gt;=300,"Good",IF(Table1[[#This Row],[Total_Marks]]&gt;=200,"Average","Below Average")))</f>
        <v>Average</v>
      </c>
    </row>
    <row r="248" spans="1:17" x14ac:dyDescent="0.3">
      <c r="A248" t="s">
        <v>259</v>
      </c>
      <c r="B248" t="s">
        <v>620</v>
      </c>
      <c r="C248" t="s">
        <v>827</v>
      </c>
      <c r="D248">
        <v>20</v>
      </c>
      <c r="E248" t="s">
        <v>831</v>
      </c>
      <c r="F248" t="s">
        <v>837</v>
      </c>
      <c r="G248">
        <v>86</v>
      </c>
      <c r="H248">
        <v>4</v>
      </c>
      <c r="I248">
        <v>62</v>
      </c>
      <c r="J248">
        <v>76</v>
      </c>
      <c r="K248">
        <v>60</v>
      </c>
      <c r="L248">
        <v>75</v>
      </c>
      <c r="M248">
        <v>78</v>
      </c>
      <c r="N248">
        <f>SUM(Table1[[#This Row],[Math_Marks]:[Social_Marks]])</f>
        <v>351</v>
      </c>
      <c r="O248">
        <f>AVERAGE(Table1[[#This Row],[Math_Marks]:[Social_Marks]])</f>
        <v>70.2</v>
      </c>
      <c r="P248" t="str">
        <f>IF(Table1[[#This Row],[Total_Marks]]&gt;=400,"Top Performer","Need Improvement")</f>
        <v>Need Improvement</v>
      </c>
      <c r="Q248" t="str">
        <f>IF(Table1[[#This Row],[Total_Marks]]&gt;=400,"Excellent",IF(Table1[[#This Row],[Total_Marks]]&gt;=300,"Good",IF(Table1[[#This Row],[Total_Marks]]&gt;=200,"Average","Below Average")))</f>
        <v>Good</v>
      </c>
    </row>
    <row r="249" spans="1:17" x14ac:dyDescent="0.3">
      <c r="A249" t="s">
        <v>260</v>
      </c>
      <c r="B249" t="s">
        <v>726</v>
      </c>
      <c r="C249" t="s">
        <v>828</v>
      </c>
      <c r="D249">
        <v>18</v>
      </c>
      <c r="E249" t="s">
        <v>834</v>
      </c>
      <c r="F249" t="s">
        <v>835</v>
      </c>
      <c r="G249">
        <v>56</v>
      </c>
      <c r="H249">
        <v>4.3</v>
      </c>
      <c r="I249">
        <v>59</v>
      </c>
      <c r="J249">
        <v>65</v>
      </c>
      <c r="K249">
        <v>59</v>
      </c>
      <c r="L249">
        <v>51</v>
      </c>
      <c r="M249">
        <v>59</v>
      </c>
      <c r="N249">
        <f>SUM(Table1[[#This Row],[Math_Marks]:[Social_Marks]])</f>
        <v>293</v>
      </c>
      <c r="O249">
        <f>AVERAGE(Table1[[#This Row],[Math_Marks]:[Social_Marks]])</f>
        <v>58.6</v>
      </c>
      <c r="P249" t="str">
        <f>IF(Table1[[#This Row],[Total_Marks]]&gt;=400,"Top Performer","Need Improvement")</f>
        <v>Need Improvement</v>
      </c>
      <c r="Q249" t="str">
        <f>IF(Table1[[#This Row],[Total_Marks]]&gt;=400,"Excellent",IF(Table1[[#This Row],[Total_Marks]]&gt;=300,"Good",IF(Table1[[#This Row],[Total_Marks]]&gt;=200,"Average","Below Average")))</f>
        <v>Average</v>
      </c>
    </row>
    <row r="250" spans="1:17" x14ac:dyDescent="0.3">
      <c r="A250" t="s">
        <v>261</v>
      </c>
      <c r="B250" t="s">
        <v>714</v>
      </c>
      <c r="C250" t="s">
        <v>828</v>
      </c>
      <c r="D250">
        <v>20</v>
      </c>
      <c r="E250" t="s">
        <v>832</v>
      </c>
      <c r="F250" t="s">
        <v>836</v>
      </c>
      <c r="G250">
        <v>91</v>
      </c>
      <c r="H250">
        <v>2.2000000000000002</v>
      </c>
      <c r="I250">
        <v>71</v>
      </c>
      <c r="J250">
        <v>47</v>
      </c>
      <c r="K250">
        <v>62</v>
      </c>
      <c r="L250">
        <v>56</v>
      </c>
      <c r="M250">
        <v>58</v>
      </c>
      <c r="N250">
        <f>SUM(Table1[[#This Row],[Math_Marks]:[Social_Marks]])</f>
        <v>294</v>
      </c>
      <c r="O250">
        <f>AVERAGE(Table1[[#This Row],[Math_Marks]:[Social_Marks]])</f>
        <v>58.8</v>
      </c>
      <c r="P250" t="str">
        <f>IF(Table1[[#This Row],[Total_Marks]]&gt;=400,"Top Performer","Need Improvement")</f>
        <v>Need Improvement</v>
      </c>
      <c r="Q250" t="str">
        <f>IF(Table1[[#This Row],[Total_Marks]]&gt;=400,"Excellent",IF(Table1[[#This Row],[Total_Marks]]&gt;=300,"Good",IF(Table1[[#This Row],[Total_Marks]]&gt;=200,"Average","Below Average")))</f>
        <v>Average</v>
      </c>
    </row>
    <row r="251" spans="1:17" x14ac:dyDescent="0.3">
      <c r="A251" t="s">
        <v>262</v>
      </c>
      <c r="B251" t="s">
        <v>742</v>
      </c>
      <c r="C251" t="s">
        <v>828</v>
      </c>
      <c r="D251">
        <v>20</v>
      </c>
      <c r="E251" t="s">
        <v>829</v>
      </c>
      <c r="F251" t="s">
        <v>835</v>
      </c>
      <c r="G251">
        <v>70</v>
      </c>
      <c r="H251">
        <v>2</v>
      </c>
      <c r="I251">
        <v>59</v>
      </c>
      <c r="J251">
        <v>42</v>
      </c>
      <c r="K251">
        <v>45</v>
      </c>
      <c r="L251">
        <v>42</v>
      </c>
      <c r="M251">
        <v>38</v>
      </c>
      <c r="N251">
        <f>SUM(Table1[[#This Row],[Math_Marks]:[Social_Marks]])</f>
        <v>226</v>
      </c>
      <c r="O251">
        <f>AVERAGE(Table1[[#This Row],[Math_Marks]:[Social_Marks]])</f>
        <v>45.2</v>
      </c>
      <c r="P251" t="str">
        <f>IF(Table1[[#This Row],[Total_Marks]]&gt;=400,"Top Performer","Need Improvement")</f>
        <v>Need Improvement</v>
      </c>
      <c r="Q251" t="str">
        <f>IF(Table1[[#This Row],[Total_Marks]]&gt;=400,"Excellent",IF(Table1[[#This Row],[Total_Marks]]&gt;=300,"Good",IF(Table1[[#This Row],[Total_Marks]]&gt;=200,"Average","Below Average")))</f>
        <v>Average</v>
      </c>
    </row>
    <row r="252" spans="1:17" x14ac:dyDescent="0.3">
      <c r="A252" t="s">
        <v>263</v>
      </c>
      <c r="B252" t="s">
        <v>762</v>
      </c>
      <c r="C252" t="s">
        <v>828</v>
      </c>
      <c r="D252">
        <v>18</v>
      </c>
      <c r="E252" t="s">
        <v>831</v>
      </c>
      <c r="F252" t="s">
        <v>839</v>
      </c>
      <c r="G252">
        <v>74</v>
      </c>
      <c r="H252">
        <v>4.8</v>
      </c>
      <c r="I252">
        <v>46</v>
      </c>
      <c r="J252">
        <v>69</v>
      </c>
      <c r="K252">
        <v>70</v>
      </c>
      <c r="L252">
        <v>69</v>
      </c>
      <c r="M252">
        <v>57</v>
      </c>
      <c r="N252">
        <f>SUM(Table1[[#This Row],[Math_Marks]:[Social_Marks]])</f>
        <v>311</v>
      </c>
      <c r="O252">
        <f>AVERAGE(Table1[[#This Row],[Math_Marks]:[Social_Marks]])</f>
        <v>62.2</v>
      </c>
      <c r="P252" t="str">
        <f>IF(Table1[[#This Row],[Total_Marks]]&gt;=400,"Top Performer","Need Improvement")</f>
        <v>Need Improvement</v>
      </c>
      <c r="Q252" t="str">
        <f>IF(Table1[[#This Row],[Total_Marks]]&gt;=400,"Excellent",IF(Table1[[#This Row],[Total_Marks]]&gt;=300,"Good",IF(Table1[[#This Row],[Total_Marks]]&gt;=200,"Average","Below Average")))</f>
        <v>Good</v>
      </c>
    </row>
    <row r="253" spans="1:17" x14ac:dyDescent="0.3">
      <c r="A253" t="s">
        <v>264</v>
      </c>
      <c r="B253" t="s">
        <v>672</v>
      </c>
      <c r="C253" t="s">
        <v>827</v>
      </c>
      <c r="D253">
        <v>19</v>
      </c>
      <c r="E253" t="s">
        <v>831</v>
      </c>
      <c r="F253" t="s">
        <v>837</v>
      </c>
      <c r="G253">
        <v>85</v>
      </c>
      <c r="H253">
        <v>3.2</v>
      </c>
      <c r="I253">
        <v>52</v>
      </c>
      <c r="J253">
        <v>60</v>
      </c>
      <c r="K253">
        <v>42</v>
      </c>
      <c r="L253">
        <v>56</v>
      </c>
      <c r="M253">
        <v>54</v>
      </c>
      <c r="N253">
        <f>SUM(Table1[[#This Row],[Math_Marks]:[Social_Marks]])</f>
        <v>264</v>
      </c>
      <c r="O253">
        <f>AVERAGE(Table1[[#This Row],[Math_Marks]:[Social_Marks]])</f>
        <v>52.8</v>
      </c>
      <c r="P253" t="str">
        <f>IF(Table1[[#This Row],[Total_Marks]]&gt;=400,"Top Performer","Need Improvement")</f>
        <v>Need Improvement</v>
      </c>
      <c r="Q253" t="str">
        <f>IF(Table1[[#This Row],[Total_Marks]]&gt;=400,"Excellent",IF(Table1[[#This Row],[Total_Marks]]&gt;=300,"Good",IF(Table1[[#This Row],[Total_Marks]]&gt;=200,"Average","Below Average")))</f>
        <v>Average</v>
      </c>
    </row>
    <row r="254" spans="1:17" x14ac:dyDescent="0.3">
      <c r="A254" t="s">
        <v>265</v>
      </c>
      <c r="B254" t="s">
        <v>729</v>
      </c>
      <c r="C254" t="s">
        <v>828</v>
      </c>
      <c r="D254">
        <v>22</v>
      </c>
      <c r="E254" t="s">
        <v>833</v>
      </c>
      <c r="F254" t="s">
        <v>840</v>
      </c>
      <c r="G254">
        <v>67</v>
      </c>
      <c r="H254">
        <v>3</v>
      </c>
      <c r="I254">
        <v>60</v>
      </c>
      <c r="J254">
        <v>58</v>
      </c>
      <c r="K254">
        <v>49</v>
      </c>
      <c r="L254">
        <v>78</v>
      </c>
      <c r="M254">
        <v>71</v>
      </c>
      <c r="N254">
        <f>SUM(Table1[[#This Row],[Math_Marks]:[Social_Marks]])</f>
        <v>316</v>
      </c>
      <c r="O254">
        <f>AVERAGE(Table1[[#This Row],[Math_Marks]:[Social_Marks]])</f>
        <v>63.2</v>
      </c>
      <c r="P254" t="str">
        <f>IF(Table1[[#This Row],[Total_Marks]]&gt;=400,"Top Performer","Need Improvement")</f>
        <v>Need Improvement</v>
      </c>
      <c r="Q254" t="str">
        <f>IF(Table1[[#This Row],[Total_Marks]]&gt;=400,"Excellent",IF(Table1[[#This Row],[Total_Marks]]&gt;=300,"Good",IF(Table1[[#This Row],[Total_Marks]]&gt;=200,"Average","Below Average")))</f>
        <v>Good</v>
      </c>
    </row>
    <row r="255" spans="1:17" x14ac:dyDescent="0.3">
      <c r="A255" t="s">
        <v>266</v>
      </c>
      <c r="B255" t="s">
        <v>644</v>
      </c>
      <c r="C255" t="s">
        <v>828</v>
      </c>
      <c r="D255">
        <v>21</v>
      </c>
      <c r="E255" t="s">
        <v>834</v>
      </c>
      <c r="F255" t="s">
        <v>837</v>
      </c>
      <c r="G255">
        <v>79</v>
      </c>
      <c r="H255">
        <v>3.6</v>
      </c>
      <c r="I255">
        <v>81</v>
      </c>
      <c r="J255">
        <v>64</v>
      </c>
      <c r="K255">
        <v>56</v>
      </c>
      <c r="L255">
        <v>64</v>
      </c>
      <c r="M255">
        <v>52</v>
      </c>
      <c r="N255">
        <f>SUM(Table1[[#This Row],[Math_Marks]:[Social_Marks]])</f>
        <v>317</v>
      </c>
      <c r="O255">
        <f>AVERAGE(Table1[[#This Row],[Math_Marks]:[Social_Marks]])</f>
        <v>63.4</v>
      </c>
      <c r="P255" t="str">
        <f>IF(Table1[[#This Row],[Total_Marks]]&gt;=400,"Top Performer","Need Improvement")</f>
        <v>Need Improvement</v>
      </c>
      <c r="Q255" t="str">
        <f>IF(Table1[[#This Row],[Total_Marks]]&gt;=400,"Excellent",IF(Table1[[#This Row],[Total_Marks]]&gt;=300,"Good",IF(Table1[[#This Row],[Total_Marks]]&gt;=200,"Average","Below Average")))</f>
        <v>Good</v>
      </c>
    </row>
    <row r="256" spans="1:17" x14ac:dyDescent="0.3">
      <c r="A256" t="s">
        <v>267</v>
      </c>
      <c r="B256" t="s">
        <v>713</v>
      </c>
      <c r="C256" t="s">
        <v>828</v>
      </c>
      <c r="D256">
        <v>19</v>
      </c>
      <c r="E256" t="s">
        <v>832</v>
      </c>
      <c r="F256" t="s">
        <v>841</v>
      </c>
      <c r="G256">
        <v>91</v>
      </c>
      <c r="H256">
        <v>4.4000000000000004</v>
      </c>
      <c r="I256">
        <v>69</v>
      </c>
      <c r="J256">
        <v>69</v>
      </c>
      <c r="K256">
        <v>65</v>
      </c>
      <c r="L256">
        <v>66</v>
      </c>
      <c r="M256">
        <v>81</v>
      </c>
      <c r="N256">
        <f>SUM(Table1[[#This Row],[Math_Marks]:[Social_Marks]])</f>
        <v>350</v>
      </c>
      <c r="O256">
        <f>AVERAGE(Table1[[#This Row],[Math_Marks]:[Social_Marks]])</f>
        <v>70</v>
      </c>
      <c r="P256" t="str">
        <f>IF(Table1[[#This Row],[Total_Marks]]&gt;=400,"Top Performer","Need Improvement")</f>
        <v>Need Improvement</v>
      </c>
      <c r="Q256" t="str">
        <f>IF(Table1[[#This Row],[Total_Marks]]&gt;=400,"Excellent",IF(Table1[[#This Row],[Total_Marks]]&gt;=300,"Good",IF(Table1[[#This Row],[Total_Marks]]&gt;=200,"Average","Below Average")))</f>
        <v>Good</v>
      </c>
    </row>
    <row r="257" spans="1:17" x14ac:dyDescent="0.3">
      <c r="A257" t="s">
        <v>268</v>
      </c>
      <c r="B257" t="s">
        <v>763</v>
      </c>
      <c r="C257" t="s">
        <v>828</v>
      </c>
      <c r="D257">
        <v>20</v>
      </c>
      <c r="E257" t="s">
        <v>831</v>
      </c>
      <c r="F257" t="s">
        <v>837</v>
      </c>
      <c r="G257">
        <v>91</v>
      </c>
      <c r="H257">
        <v>4.8</v>
      </c>
      <c r="I257">
        <v>72</v>
      </c>
      <c r="J257">
        <v>79</v>
      </c>
      <c r="K257">
        <v>69</v>
      </c>
      <c r="L257">
        <v>72</v>
      </c>
      <c r="M257">
        <v>82</v>
      </c>
      <c r="N257">
        <f>SUM(Table1[[#This Row],[Math_Marks]:[Social_Marks]])</f>
        <v>374</v>
      </c>
      <c r="O257">
        <f>AVERAGE(Table1[[#This Row],[Math_Marks]:[Social_Marks]])</f>
        <v>74.8</v>
      </c>
      <c r="P257" t="str">
        <f>IF(Table1[[#This Row],[Total_Marks]]&gt;=400,"Top Performer","Need Improvement")</f>
        <v>Need Improvement</v>
      </c>
      <c r="Q257" t="str">
        <f>IF(Table1[[#This Row],[Total_Marks]]&gt;=400,"Excellent",IF(Table1[[#This Row],[Total_Marks]]&gt;=300,"Good",IF(Table1[[#This Row],[Total_Marks]]&gt;=200,"Average","Below Average")))</f>
        <v>Good</v>
      </c>
    </row>
    <row r="258" spans="1:17" x14ac:dyDescent="0.3">
      <c r="A258" t="s">
        <v>269</v>
      </c>
      <c r="B258" t="s">
        <v>665</v>
      </c>
      <c r="C258" t="s">
        <v>828</v>
      </c>
      <c r="D258">
        <v>19</v>
      </c>
      <c r="E258" t="s">
        <v>830</v>
      </c>
      <c r="F258" t="s">
        <v>840</v>
      </c>
      <c r="G258">
        <v>82</v>
      </c>
      <c r="H258">
        <v>6.4</v>
      </c>
      <c r="I258">
        <v>63</v>
      </c>
      <c r="J258">
        <v>50</v>
      </c>
      <c r="K258">
        <v>56</v>
      </c>
      <c r="L258">
        <v>58</v>
      </c>
      <c r="M258">
        <v>58</v>
      </c>
      <c r="N258">
        <f>SUM(Table1[[#This Row],[Math_Marks]:[Social_Marks]])</f>
        <v>285</v>
      </c>
      <c r="O258">
        <f>AVERAGE(Table1[[#This Row],[Math_Marks]:[Social_Marks]])</f>
        <v>57</v>
      </c>
      <c r="P258" t="str">
        <f>IF(Table1[[#This Row],[Total_Marks]]&gt;=400,"Top Performer","Need Improvement")</f>
        <v>Need Improvement</v>
      </c>
      <c r="Q258" t="str">
        <f>IF(Table1[[#This Row],[Total_Marks]]&gt;=400,"Excellent",IF(Table1[[#This Row],[Total_Marks]]&gt;=300,"Good",IF(Table1[[#This Row],[Total_Marks]]&gt;=200,"Average","Below Average")))</f>
        <v>Average</v>
      </c>
    </row>
    <row r="259" spans="1:17" x14ac:dyDescent="0.3">
      <c r="A259" t="s">
        <v>270</v>
      </c>
      <c r="B259" t="s">
        <v>764</v>
      </c>
      <c r="C259" t="s">
        <v>827</v>
      </c>
      <c r="D259">
        <v>18</v>
      </c>
      <c r="E259" t="s">
        <v>833</v>
      </c>
      <c r="F259" t="s">
        <v>836</v>
      </c>
      <c r="G259">
        <v>68</v>
      </c>
      <c r="H259">
        <v>5</v>
      </c>
      <c r="I259">
        <v>78</v>
      </c>
      <c r="J259">
        <v>59</v>
      </c>
      <c r="K259">
        <v>74</v>
      </c>
      <c r="L259">
        <v>77</v>
      </c>
      <c r="M259">
        <v>63</v>
      </c>
      <c r="N259">
        <f>SUM(Table1[[#This Row],[Math_Marks]:[Social_Marks]])</f>
        <v>351</v>
      </c>
      <c r="O259">
        <f>AVERAGE(Table1[[#This Row],[Math_Marks]:[Social_Marks]])</f>
        <v>70.2</v>
      </c>
      <c r="P259" t="str">
        <f>IF(Table1[[#This Row],[Total_Marks]]&gt;=400,"Top Performer","Need Improvement")</f>
        <v>Need Improvement</v>
      </c>
      <c r="Q259" t="str">
        <f>IF(Table1[[#This Row],[Total_Marks]]&gt;=400,"Excellent",IF(Table1[[#This Row],[Total_Marks]]&gt;=300,"Good",IF(Table1[[#This Row],[Total_Marks]]&gt;=200,"Average","Below Average")))</f>
        <v>Good</v>
      </c>
    </row>
    <row r="260" spans="1:17" x14ac:dyDescent="0.3">
      <c r="A260" t="s">
        <v>271</v>
      </c>
      <c r="B260" t="s">
        <v>765</v>
      </c>
      <c r="C260" t="s">
        <v>828</v>
      </c>
      <c r="D260">
        <v>22</v>
      </c>
      <c r="E260" t="s">
        <v>833</v>
      </c>
      <c r="F260" t="s">
        <v>840</v>
      </c>
      <c r="G260">
        <v>99</v>
      </c>
      <c r="H260">
        <v>1.3</v>
      </c>
      <c r="I260">
        <v>68</v>
      </c>
      <c r="J260">
        <v>83</v>
      </c>
      <c r="K260">
        <v>83</v>
      </c>
      <c r="L260">
        <v>67</v>
      </c>
      <c r="M260">
        <v>79</v>
      </c>
      <c r="N260">
        <f>SUM(Table1[[#This Row],[Math_Marks]:[Social_Marks]])</f>
        <v>380</v>
      </c>
      <c r="O260">
        <f>AVERAGE(Table1[[#This Row],[Math_Marks]:[Social_Marks]])</f>
        <v>76</v>
      </c>
      <c r="P260" t="str">
        <f>IF(Table1[[#This Row],[Total_Marks]]&gt;=400,"Top Performer","Need Improvement")</f>
        <v>Need Improvement</v>
      </c>
      <c r="Q260" t="str">
        <f>IF(Table1[[#This Row],[Total_Marks]]&gt;=400,"Excellent",IF(Table1[[#This Row],[Total_Marks]]&gt;=300,"Good",IF(Table1[[#This Row],[Total_Marks]]&gt;=200,"Average","Below Average")))</f>
        <v>Good</v>
      </c>
    </row>
    <row r="261" spans="1:17" x14ac:dyDescent="0.3">
      <c r="A261" t="s">
        <v>272</v>
      </c>
      <c r="B261" t="s">
        <v>766</v>
      </c>
      <c r="C261" t="s">
        <v>827</v>
      </c>
      <c r="D261">
        <v>19</v>
      </c>
      <c r="E261" t="s">
        <v>831</v>
      </c>
      <c r="F261" t="s">
        <v>836</v>
      </c>
      <c r="G261">
        <v>92</v>
      </c>
      <c r="H261">
        <v>3.9</v>
      </c>
      <c r="I261">
        <v>74</v>
      </c>
      <c r="J261">
        <v>70</v>
      </c>
      <c r="K261">
        <v>72</v>
      </c>
      <c r="L261">
        <v>60</v>
      </c>
      <c r="M261">
        <v>57</v>
      </c>
      <c r="N261">
        <f>SUM(Table1[[#This Row],[Math_Marks]:[Social_Marks]])</f>
        <v>333</v>
      </c>
      <c r="O261">
        <f>AVERAGE(Table1[[#This Row],[Math_Marks]:[Social_Marks]])</f>
        <v>66.599999999999994</v>
      </c>
      <c r="P261" t="str">
        <f>IF(Table1[[#This Row],[Total_Marks]]&gt;=400,"Top Performer","Need Improvement")</f>
        <v>Need Improvement</v>
      </c>
      <c r="Q261" t="str">
        <f>IF(Table1[[#This Row],[Total_Marks]]&gt;=400,"Excellent",IF(Table1[[#This Row],[Total_Marks]]&gt;=300,"Good",IF(Table1[[#This Row],[Total_Marks]]&gt;=200,"Average","Below Average")))</f>
        <v>Good</v>
      </c>
    </row>
    <row r="262" spans="1:17" x14ac:dyDescent="0.3">
      <c r="A262" t="s">
        <v>273</v>
      </c>
      <c r="B262" t="s">
        <v>699</v>
      </c>
      <c r="C262" t="s">
        <v>828</v>
      </c>
      <c r="D262">
        <v>18</v>
      </c>
      <c r="E262" t="s">
        <v>830</v>
      </c>
      <c r="F262" t="s">
        <v>837</v>
      </c>
      <c r="G262">
        <v>90</v>
      </c>
      <c r="H262">
        <v>3.6</v>
      </c>
      <c r="I262">
        <v>86</v>
      </c>
      <c r="J262">
        <v>77</v>
      </c>
      <c r="K262">
        <v>69</v>
      </c>
      <c r="L262">
        <v>88</v>
      </c>
      <c r="M262">
        <v>75</v>
      </c>
      <c r="N262">
        <f>SUM(Table1[[#This Row],[Math_Marks]:[Social_Marks]])</f>
        <v>395</v>
      </c>
      <c r="O262">
        <f>AVERAGE(Table1[[#This Row],[Math_Marks]:[Social_Marks]])</f>
        <v>79</v>
      </c>
      <c r="P262" t="str">
        <f>IF(Table1[[#This Row],[Total_Marks]]&gt;=400,"Top Performer","Need Improvement")</f>
        <v>Need Improvement</v>
      </c>
      <c r="Q262" t="str">
        <f>IF(Table1[[#This Row],[Total_Marks]]&gt;=400,"Excellent",IF(Table1[[#This Row],[Total_Marks]]&gt;=300,"Good",IF(Table1[[#This Row],[Total_Marks]]&gt;=200,"Average","Below Average")))</f>
        <v>Good</v>
      </c>
    </row>
    <row r="263" spans="1:17" x14ac:dyDescent="0.3">
      <c r="A263" t="s">
        <v>274</v>
      </c>
      <c r="B263" t="s">
        <v>767</v>
      </c>
      <c r="C263" t="s">
        <v>828</v>
      </c>
      <c r="D263">
        <v>21</v>
      </c>
      <c r="E263" t="s">
        <v>834</v>
      </c>
      <c r="F263" t="s">
        <v>838</v>
      </c>
      <c r="G263">
        <v>68</v>
      </c>
      <c r="H263">
        <v>4.7</v>
      </c>
      <c r="I263">
        <v>84</v>
      </c>
      <c r="J263">
        <v>51</v>
      </c>
      <c r="K263">
        <v>49</v>
      </c>
      <c r="L263">
        <v>63</v>
      </c>
      <c r="M263">
        <v>72</v>
      </c>
      <c r="N263">
        <f>SUM(Table1[[#This Row],[Math_Marks]:[Social_Marks]])</f>
        <v>319</v>
      </c>
      <c r="O263">
        <f>AVERAGE(Table1[[#This Row],[Math_Marks]:[Social_Marks]])</f>
        <v>63.8</v>
      </c>
      <c r="P263" t="str">
        <f>IF(Table1[[#This Row],[Total_Marks]]&gt;=400,"Top Performer","Need Improvement")</f>
        <v>Need Improvement</v>
      </c>
      <c r="Q263" t="str">
        <f>IF(Table1[[#This Row],[Total_Marks]]&gt;=400,"Excellent",IF(Table1[[#This Row],[Total_Marks]]&gt;=300,"Good",IF(Table1[[#This Row],[Total_Marks]]&gt;=200,"Average","Below Average")))</f>
        <v>Good</v>
      </c>
    </row>
    <row r="264" spans="1:17" x14ac:dyDescent="0.3">
      <c r="A264" t="s">
        <v>275</v>
      </c>
      <c r="B264" t="s">
        <v>758</v>
      </c>
      <c r="C264" t="s">
        <v>828</v>
      </c>
      <c r="D264">
        <v>21</v>
      </c>
      <c r="E264" t="s">
        <v>834</v>
      </c>
      <c r="F264" t="s">
        <v>839</v>
      </c>
      <c r="G264">
        <v>75</v>
      </c>
      <c r="H264">
        <v>2.2000000000000002</v>
      </c>
      <c r="I264">
        <v>44</v>
      </c>
      <c r="J264">
        <v>30</v>
      </c>
      <c r="K264">
        <v>32</v>
      </c>
      <c r="L264">
        <v>39</v>
      </c>
      <c r="M264">
        <v>36</v>
      </c>
      <c r="N264">
        <f>SUM(Table1[[#This Row],[Math_Marks]:[Social_Marks]])</f>
        <v>181</v>
      </c>
      <c r="O264">
        <f>AVERAGE(Table1[[#This Row],[Math_Marks]:[Social_Marks]])</f>
        <v>36.200000000000003</v>
      </c>
      <c r="P264" t="str">
        <f>IF(Table1[[#This Row],[Total_Marks]]&gt;=400,"Top Performer","Need Improvement")</f>
        <v>Need Improvement</v>
      </c>
      <c r="Q264" t="str">
        <f>IF(Table1[[#This Row],[Total_Marks]]&gt;=400,"Excellent",IF(Table1[[#This Row],[Total_Marks]]&gt;=300,"Good",IF(Table1[[#This Row],[Total_Marks]]&gt;=200,"Average","Below Average")))</f>
        <v>Below Average</v>
      </c>
    </row>
    <row r="265" spans="1:17" x14ac:dyDescent="0.3">
      <c r="A265" t="s">
        <v>276</v>
      </c>
      <c r="B265" t="s">
        <v>768</v>
      </c>
      <c r="C265" t="s">
        <v>828</v>
      </c>
      <c r="D265">
        <v>18</v>
      </c>
      <c r="E265" t="s">
        <v>829</v>
      </c>
      <c r="F265" t="s">
        <v>842</v>
      </c>
      <c r="G265">
        <v>88</v>
      </c>
      <c r="H265">
        <v>5.5</v>
      </c>
      <c r="I265">
        <v>75</v>
      </c>
      <c r="J265">
        <v>76</v>
      </c>
      <c r="K265">
        <v>73</v>
      </c>
      <c r="L265">
        <v>69</v>
      </c>
      <c r="M265">
        <v>70</v>
      </c>
      <c r="N265">
        <f>SUM(Table1[[#This Row],[Math_Marks]:[Social_Marks]])</f>
        <v>363</v>
      </c>
      <c r="O265">
        <f>AVERAGE(Table1[[#This Row],[Math_Marks]:[Social_Marks]])</f>
        <v>72.599999999999994</v>
      </c>
      <c r="P265" t="str">
        <f>IF(Table1[[#This Row],[Total_Marks]]&gt;=400,"Top Performer","Need Improvement")</f>
        <v>Need Improvement</v>
      </c>
      <c r="Q265" t="str">
        <f>IF(Table1[[#This Row],[Total_Marks]]&gt;=400,"Excellent",IF(Table1[[#This Row],[Total_Marks]]&gt;=300,"Good",IF(Table1[[#This Row],[Total_Marks]]&gt;=200,"Average","Below Average")))</f>
        <v>Good</v>
      </c>
    </row>
    <row r="266" spans="1:17" x14ac:dyDescent="0.3">
      <c r="A266" t="s">
        <v>277</v>
      </c>
      <c r="B266" t="s">
        <v>727</v>
      </c>
      <c r="C266" t="s">
        <v>827</v>
      </c>
      <c r="D266">
        <v>20</v>
      </c>
      <c r="E266" t="s">
        <v>833</v>
      </c>
      <c r="F266" t="s">
        <v>838</v>
      </c>
      <c r="G266">
        <v>76</v>
      </c>
      <c r="H266">
        <v>2.8</v>
      </c>
      <c r="I266">
        <v>58</v>
      </c>
      <c r="J266">
        <v>51</v>
      </c>
      <c r="K266">
        <v>44</v>
      </c>
      <c r="L266">
        <v>57</v>
      </c>
      <c r="M266">
        <v>46</v>
      </c>
      <c r="N266">
        <f>SUM(Table1[[#This Row],[Math_Marks]:[Social_Marks]])</f>
        <v>256</v>
      </c>
      <c r="O266">
        <f>AVERAGE(Table1[[#This Row],[Math_Marks]:[Social_Marks]])</f>
        <v>51.2</v>
      </c>
      <c r="P266" t="str">
        <f>IF(Table1[[#This Row],[Total_Marks]]&gt;=400,"Top Performer","Need Improvement")</f>
        <v>Need Improvement</v>
      </c>
      <c r="Q266" t="str">
        <f>IF(Table1[[#This Row],[Total_Marks]]&gt;=400,"Excellent",IF(Table1[[#This Row],[Total_Marks]]&gt;=300,"Good",IF(Table1[[#This Row],[Total_Marks]]&gt;=200,"Average","Below Average")))</f>
        <v>Average</v>
      </c>
    </row>
    <row r="267" spans="1:17" x14ac:dyDescent="0.3">
      <c r="A267" t="s">
        <v>278</v>
      </c>
      <c r="B267" t="s">
        <v>637</v>
      </c>
      <c r="C267" t="s">
        <v>827</v>
      </c>
      <c r="D267">
        <v>19</v>
      </c>
      <c r="E267" t="s">
        <v>832</v>
      </c>
      <c r="F267" t="s">
        <v>839</v>
      </c>
      <c r="G267">
        <v>78</v>
      </c>
      <c r="H267">
        <v>3.9</v>
      </c>
      <c r="I267">
        <v>72</v>
      </c>
      <c r="J267">
        <v>62</v>
      </c>
      <c r="K267">
        <v>76</v>
      </c>
      <c r="L267">
        <v>68</v>
      </c>
      <c r="M267">
        <v>87</v>
      </c>
      <c r="N267">
        <f>SUM(Table1[[#This Row],[Math_Marks]:[Social_Marks]])</f>
        <v>365</v>
      </c>
      <c r="O267">
        <f>AVERAGE(Table1[[#This Row],[Math_Marks]:[Social_Marks]])</f>
        <v>73</v>
      </c>
      <c r="P267" t="str">
        <f>IF(Table1[[#This Row],[Total_Marks]]&gt;=400,"Top Performer","Need Improvement")</f>
        <v>Need Improvement</v>
      </c>
      <c r="Q267" t="str">
        <f>IF(Table1[[#This Row],[Total_Marks]]&gt;=400,"Excellent",IF(Table1[[#This Row],[Total_Marks]]&gt;=300,"Good",IF(Table1[[#This Row],[Total_Marks]]&gt;=200,"Average","Below Average")))</f>
        <v>Good</v>
      </c>
    </row>
    <row r="268" spans="1:17" x14ac:dyDescent="0.3">
      <c r="A268" t="s">
        <v>279</v>
      </c>
      <c r="B268" t="s">
        <v>769</v>
      </c>
      <c r="C268" t="s">
        <v>828</v>
      </c>
      <c r="D268">
        <v>22</v>
      </c>
      <c r="E268" t="s">
        <v>830</v>
      </c>
      <c r="F268" t="s">
        <v>842</v>
      </c>
      <c r="G268">
        <v>99</v>
      </c>
      <c r="H268">
        <v>6.2</v>
      </c>
      <c r="I268">
        <v>82</v>
      </c>
      <c r="J268">
        <v>98</v>
      </c>
      <c r="K268">
        <v>85</v>
      </c>
      <c r="L268">
        <v>92</v>
      </c>
      <c r="M268">
        <v>80</v>
      </c>
      <c r="N268">
        <f>SUM(Table1[[#This Row],[Math_Marks]:[Social_Marks]])</f>
        <v>437</v>
      </c>
      <c r="O268">
        <f>AVERAGE(Table1[[#This Row],[Math_Marks]:[Social_Marks]])</f>
        <v>87.4</v>
      </c>
      <c r="P268" t="str">
        <f>IF(Table1[[#This Row],[Total_Marks]]&gt;=400,"Top Performer","Need Improvement")</f>
        <v>Top Performer</v>
      </c>
      <c r="Q268" t="str">
        <f>IF(Table1[[#This Row],[Total_Marks]]&gt;=400,"Excellent",IF(Table1[[#This Row],[Total_Marks]]&gt;=300,"Good",IF(Table1[[#This Row],[Total_Marks]]&gt;=200,"Average","Below Average")))</f>
        <v>Excellent</v>
      </c>
    </row>
    <row r="269" spans="1:17" x14ac:dyDescent="0.3">
      <c r="A269" t="s">
        <v>280</v>
      </c>
      <c r="B269" t="s">
        <v>620</v>
      </c>
      <c r="C269" t="s">
        <v>828</v>
      </c>
      <c r="D269">
        <v>18</v>
      </c>
      <c r="E269" t="s">
        <v>834</v>
      </c>
      <c r="F269" t="s">
        <v>842</v>
      </c>
      <c r="G269">
        <v>89</v>
      </c>
      <c r="H269">
        <v>4.2</v>
      </c>
      <c r="I269">
        <v>55</v>
      </c>
      <c r="J269">
        <v>52</v>
      </c>
      <c r="K269">
        <v>65</v>
      </c>
      <c r="L269">
        <v>67</v>
      </c>
      <c r="M269">
        <v>66</v>
      </c>
      <c r="N269">
        <f>SUM(Table1[[#This Row],[Math_Marks]:[Social_Marks]])</f>
        <v>305</v>
      </c>
      <c r="O269">
        <f>AVERAGE(Table1[[#This Row],[Math_Marks]:[Social_Marks]])</f>
        <v>61</v>
      </c>
      <c r="P269" t="str">
        <f>IF(Table1[[#This Row],[Total_Marks]]&gt;=400,"Top Performer","Need Improvement")</f>
        <v>Need Improvement</v>
      </c>
      <c r="Q269" t="str">
        <f>IF(Table1[[#This Row],[Total_Marks]]&gt;=400,"Excellent",IF(Table1[[#This Row],[Total_Marks]]&gt;=300,"Good",IF(Table1[[#This Row],[Total_Marks]]&gt;=200,"Average","Below Average")))</f>
        <v>Good</v>
      </c>
    </row>
    <row r="270" spans="1:17" x14ac:dyDescent="0.3">
      <c r="A270" t="s">
        <v>281</v>
      </c>
      <c r="B270" t="s">
        <v>664</v>
      </c>
      <c r="C270" t="s">
        <v>828</v>
      </c>
      <c r="D270">
        <v>19</v>
      </c>
      <c r="E270" t="s">
        <v>832</v>
      </c>
      <c r="F270" t="s">
        <v>837</v>
      </c>
      <c r="G270">
        <v>94</v>
      </c>
      <c r="H270">
        <v>3.2</v>
      </c>
      <c r="I270">
        <v>72</v>
      </c>
      <c r="J270">
        <v>69</v>
      </c>
      <c r="K270">
        <v>59</v>
      </c>
      <c r="L270">
        <v>57</v>
      </c>
      <c r="M270">
        <v>58</v>
      </c>
      <c r="N270">
        <f>SUM(Table1[[#This Row],[Math_Marks]:[Social_Marks]])</f>
        <v>315</v>
      </c>
      <c r="O270">
        <f>AVERAGE(Table1[[#This Row],[Math_Marks]:[Social_Marks]])</f>
        <v>63</v>
      </c>
      <c r="P270" t="str">
        <f>IF(Table1[[#This Row],[Total_Marks]]&gt;=400,"Top Performer","Need Improvement")</f>
        <v>Need Improvement</v>
      </c>
      <c r="Q270" t="str">
        <f>IF(Table1[[#This Row],[Total_Marks]]&gt;=400,"Excellent",IF(Table1[[#This Row],[Total_Marks]]&gt;=300,"Good",IF(Table1[[#This Row],[Total_Marks]]&gt;=200,"Average","Below Average")))</f>
        <v>Good</v>
      </c>
    </row>
    <row r="271" spans="1:17" x14ac:dyDescent="0.3">
      <c r="A271" t="s">
        <v>282</v>
      </c>
      <c r="B271" t="s">
        <v>762</v>
      </c>
      <c r="C271" t="s">
        <v>827</v>
      </c>
      <c r="D271">
        <v>20</v>
      </c>
      <c r="E271" t="s">
        <v>834</v>
      </c>
      <c r="F271" t="s">
        <v>842</v>
      </c>
      <c r="G271">
        <v>88</v>
      </c>
      <c r="H271">
        <v>5.6</v>
      </c>
      <c r="I271">
        <v>71</v>
      </c>
      <c r="J271">
        <v>62</v>
      </c>
      <c r="K271">
        <v>44</v>
      </c>
      <c r="L271">
        <v>48</v>
      </c>
      <c r="M271">
        <v>56</v>
      </c>
      <c r="N271">
        <f>SUM(Table1[[#This Row],[Math_Marks]:[Social_Marks]])</f>
        <v>281</v>
      </c>
      <c r="O271">
        <f>AVERAGE(Table1[[#This Row],[Math_Marks]:[Social_Marks]])</f>
        <v>56.2</v>
      </c>
      <c r="P271" t="str">
        <f>IF(Table1[[#This Row],[Total_Marks]]&gt;=400,"Top Performer","Need Improvement")</f>
        <v>Need Improvement</v>
      </c>
      <c r="Q271" t="str">
        <f>IF(Table1[[#This Row],[Total_Marks]]&gt;=400,"Excellent",IF(Table1[[#This Row],[Total_Marks]]&gt;=300,"Good",IF(Table1[[#This Row],[Total_Marks]]&gt;=200,"Average","Below Average")))</f>
        <v>Average</v>
      </c>
    </row>
    <row r="272" spans="1:17" x14ac:dyDescent="0.3">
      <c r="A272" t="s">
        <v>283</v>
      </c>
      <c r="B272" t="s">
        <v>702</v>
      </c>
      <c r="C272" t="s">
        <v>827</v>
      </c>
      <c r="D272">
        <v>19</v>
      </c>
      <c r="E272" t="s">
        <v>833</v>
      </c>
      <c r="F272" t="s">
        <v>842</v>
      </c>
      <c r="G272">
        <v>99</v>
      </c>
      <c r="H272">
        <v>1.9</v>
      </c>
      <c r="I272">
        <v>63</v>
      </c>
      <c r="J272">
        <v>54</v>
      </c>
      <c r="K272">
        <v>60</v>
      </c>
      <c r="L272">
        <v>47</v>
      </c>
      <c r="M272">
        <v>71</v>
      </c>
      <c r="N272">
        <f>SUM(Table1[[#This Row],[Math_Marks]:[Social_Marks]])</f>
        <v>295</v>
      </c>
      <c r="O272">
        <f>AVERAGE(Table1[[#This Row],[Math_Marks]:[Social_Marks]])</f>
        <v>59</v>
      </c>
      <c r="P272" t="str">
        <f>IF(Table1[[#This Row],[Total_Marks]]&gt;=400,"Top Performer","Need Improvement")</f>
        <v>Need Improvement</v>
      </c>
      <c r="Q272" t="str">
        <f>IF(Table1[[#This Row],[Total_Marks]]&gt;=400,"Excellent",IF(Table1[[#This Row],[Total_Marks]]&gt;=300,"Good",IF(Table1[[#This Row],[Total_Marks]]&gt;=200,"Average","Below Average")))</f>
        <v>Average</v>
      </c>
    </row>
    <row r="273" spans="1:17" x14ac:dyDescent="0.3">
      <c r="A273" t="s">
        <v>284</v>
      </c>
      <c r="B273" t="s">
        <v>770</v>
      </c>
      <c r="C273" t="s">
        <v>827</v>
      </c>
      <c r="D273">
        <v>22</v>
      </c>
      <c r="E273" t="s">
        <v>830</v>
      </c>
      <c r="F273" t="s">
        <v>838</v>
      </c>
      <c r="G273">
        <v>91</v>
      </c>
      <c r="H273">
        <v>3.7</v>
      </c>
      <c r="I273">
        <v>61</v>
      </c>
      <c r="J273">
        <v>67</v>
      </c>
      <c r="K273">
        <v>68</v>
      </c>
      <c r="L273">
        <v>59</v>
      </c>
      <c r="M273">
        <v>65</v>
      </c>
      <c r="N273">
        <f>SUM(Table1[[#This Row],[Math_Marks]:[Social_Marks]])</f>
        <v>320</v>
      </c>
      <c r="O273">
        <f>AVERAGE(Table1[[#This Row],[Math_Marks]:[Social_Marks]])</f>
        <v>64</v>
      </c>
      <c r="P273" t="str">
        <f>IF(Table1[[#This Row],[Total_Marks]]&gt;=400,"Top Performer","Need Improvement")</f>
        <v>Need Improvement</v>
      </c>
      <c r="Q273" t="str">
        <f>IF(Table1[[#This Row],[Total_Marks]]&gt;=400,"Excellent",IF(Table1[[#This Row],[Total_Marks]]&gt;=300,"Good",IF(Table1[[#This Row],[Total_Marks]]&gt;=200,"Average","Below Average")))</f>
        <v>Good</v>
      </c>
    </row>
    <row r="274" spans="1:17" x14ac:dyDescent="0.3">
      <c r="A274" t="s">
        <v>285</v>
      </c>
      <c r="B274" t="s">
        <v>771</v>
      </c>
      <c r="C274" t="s">
        <v>828</v>
      </c>
      <c r="D274">
        <v>19</v>
      </c>
      <c r="E274" t="s">
        <v>832</v>
      </c>
      <c r="F274" t="s">
        <v>840</v>
      </c>
      <c r="G274">
        <v>95</v>
      </c>
      <c r="H274">
        <v>3.5</v>
      </c>
      <c r="I274">
        <v>57</v>
      </c>
      <c r="J274">
        <v>64</v>
      </c>
      <c r="K274">
        <v>69</v>
      </c>
      <c r="L274">
        <v>80</v>
      </c>
      <c r="M274">
        <v>69</v>
      </c>
      <c r="N274">
        <f>SUM(Table1[[#This Row],[Math_Marks]:[Social_Marks]])</f>
        <v>339</v>
      </c>
      <c r="O274">
        <f>AVERAGE(Table1[[#This Row],[Math_Marks]:[Social_Marks]])</f>
        <v>67.8</v>
      </c>
      <c r="P274" t="str">
        <f>IF(Table1[[#This Row],[Total_Marks]]&gt;=400,"Top Performer","Need Improvement")</f>
        <v>Need Improvement</v>
      </c>
      <c r="Q274" t="str">
        <f>IF(Table1[[#This Row],[Total_Marks]]&gt;=400,"Excellent",IF(Table1[[#This Row],[Total_Marks]]&gt;=300,"Good",IF(Table1[[#This Row],[Total_Marks]]&gt;=200,"Average","Below Average")))</f>
        <v>Good</v>
      </c>
    </row>
    <row r="275" spans="1:17" x14ac:dyDescent="0.3">
      <c r="A275" t="s">
        <v>286</v>
      </c>
      <c r="B275" t="s">
        <v>772</v>
      </c>
      <c r="C275" t="s">
        <v>827</v>
      </c>
      <c r="D275">
        <v>18</v>
      </c>
      <c r="E275" t="s">
        <v>829</v>
      </c>
      <c r="F275" t="s">
        <v>836</v>
      </c>
      <c r="G275">
        <v>81</v>
      </c>
      <c r="H275">
        <v>7.4</v>
      </c>
      <c r="I275">
        <v>69</v>
      </c>
      <c r="J275">
        <v>65</v>
      </c>
      <c r="K275">
        <v>94</v>
      </c>
      <c r="L275">
        <v>82</v>
      </c>
      <c r="M275">
        <v>72</v>
      </c>
      <c r="N275">
        <f>SUM(Table1[[#This Row],[Math_Marks]:[Social_Marks]])</f>
        <v>382</v>
      </c>
      <c r="O275">
        <f>AVERAGE(Table1[[#This Row],[Math_Marks]:[Social_Marks]])</f>
        <v>76.400000000000006</v>
      </c>
      <c r="P275" t="str">
        <f>IF(Table1[[#This Row],[Total_Marks]]&gt;=400,"Top Performer","Need Improvement")</f>
        <v>Need Improvement</v>
      </c>
      <c r="Q275" t="str">
        <f>IF(Table1[[#This Row],[Total_Marks]]&gt;=400,"Excellent",IF(Table1[[#This Row],[Total_Marks]]&gt;=300,"Good",IF(Table1[[#This Row],[Total_Marks]]&gt;=200,"Average","Below Average")))</f>
        <v>Good</v>
      </c>
    </row>
    <row r="276" spans="1:17" x14ac:dyDescent="0.3">
      <c r="A276" t="s">
        <v>287</v>
      </c>
      <c r="B276" t="s">
        <v>660</v>
      </c>
      <c r="C276" t="s">
        <v>828</v>
      </c>
      <c r="D276">
        <v>20</v>
      </c>
      <c r="E276" t="s">
        <v>834</v>
      </c>
      <c r="F276" t="s">
        <v>837</v>
      </c>
      <c r="G276">
        <v>68</v>
      </c>
      <c r="H276">
        <v>3.4</v>
      </c>
      <c r="I276">
        <v>41</v>
      </c>
      <c r="J276">
        <v>65</v>
      </c>
      <c r="K276">
        <v>54</v>
      </c>
      <c r="L276">
        <v>62</v>
      </c>
      <c r="M276">
        <v>75</v>
      </c>
      <c r="N276">
        <f>SUM(Table1[[#This Row],[Math_Marks]:[Social_Marks]])</f>
        <v>297</v>
      </c>
      <c r="O276">
        <f>AVERAGE(Table1[[#This Row],[Math_Marks]:[Social_Marks]])</f>
        <v>59.4</v>
      </c>
      <c r="P276" t="str">
        <f>IF(Table1[[#This Row],[Total_Marks]]&gt;=400,"Top Performer","Need Improvement")</f>
        <v>Need Improvement</v>
      </c>
      <c r="Q276" t="str">
        <f>IF(Table1[[#This Row],[Total_Marks]]&gt;=400,"Excellent",IF(Table1[[#This Row],[Total_Marks]]&gt;=300,"Good",IF(Table1[[#This Row],[Total_Marks]]&gt;=200,"Average","Below Average")))</f>
        <v>Average</v>
      </c>
    </row>
    <row r="277" spans="1:17" x14ac:dyDescent="0.3">
      <c r="A277" t="s">
        <v>288</v>
      </c>
      <c r="B277" t="s">
        <v>669</v>
      </c>
      <c r="C277" t="s">
        <v>827</v>
      </c>
      <c r="D277">
        <v>22</v>
      </c>
      <c r="E277" t="s">
        <v>834</v>
      </c>
      <c r="F277" t="s">
        <v>835</v>
      </c>
      <c r="G277">
        <v>90</v>
      </c>
      <c r="H277">
        <v>2.9</v>
      </c>
      <c r="I277">
        <v>66</v>
      </c>
      <c r="J277">
        <v>61</v>
      </c>
      <c r="K277">
        <v>42</v>
      </c>
      <c r="L277">
        <v>48</v>
      </c>
      <c r="M277">
        <v>70</v>
      </c>
      <c r="N277">
        <f>SUM(Table1[[#This Row],[Math_Marks]:[Social_Marks]])</f>
        <v>287</v>
      </c>
      <c r="O277">
        <f>AVERAGE(Table1[[#This Row],[Math_Marks]:[Social_Marks]])</f>
        <v>57.4</v>
      </c>
      <c r="P277" t="str">
        <f>IF(Table1[[#This Row],[Total_Marks]]&gt;=400,"Top Performer","Need Improvement")</f>
        <v>Need Improvement</v>
      </c>
      <c r="Q277" t="str">
        <f>IF(Table1[[#This Row],[Total_Marks]]&gt;=400,"Excellent",IF(Table1[[#This Row],[Total_Marks]]&gt;=300,"Good",IF(Table1[[#This Row],[Total_Marks]]&gt;=200,"Average","Below Average")))</f>
        <v>Average</v>
      </c>
    </row>
    <row r="278" spans="1:17" x14ac:dyDescent="0.3">
      <c r="A278" t="s">
        <v>289</v>
      </c>
      <c r="B278" t="s">
        <v>672</v>
      </c>
      <c r="C278" t="s">
        <v>828</v>
      </c>
      <c r="D278">
        <v>19</v>
      </c>
      <c r="E278" t="s">
        <v>833</v>
      </c>
      <c r="F278" t="s">
        <v>839</v>
      </c>
      <c r="G278">
        <v>82</v>
      </c>
      <c r="H278">
        <v>4.9000000000000004</v>
      </c>
      <c r="I278">
        <v>52</v>
      </c>
      <c r="J278">
        <v>61</v>
      </c>
      <c r="K278">
        <v>58</v>
      </c>
      <c r="L278">
        <v>64</v>
      </c>
      <c r="M278">
        <v>49</v>
      </c>
      <c r="N278">
        <f>SUM(Table1[[#This Row],[Math_Marks]:[Social_Marks]])</f>
        <v>284</v>
      </c>
      <c r="O278">
        <f>AVERAGE(Table1[[#This Row],[Math_Marks]:[Social_Marks]])</f>
        <v>56.8</v>
      </c>
      <c r="P278" t="str">
        <f>IF(Table1[[#This Row],[Total_Marks]]&gt;=400,"Top Performer","Need Improvement")</f>
        <v>Need Improvement</v>
      </c>
      <c r="Q278" t="str">
        <f>IF(Table1[[#This Row],[Total_Marks]]&gt;=400,"Excellent",IF(Table1[[#This Row],[Total_Marks]]&gt;=300,"Good",IF(Table1[[#This Row],[Total_Marks]]&gt;=200,"Average","Below Average")))</f>
        <v>Average</v>
      </c>
    </row>
    <row r="279" spans="1:17" x14ac:dyDescent="0.3">
      <c r="A279" t="s">
        <v>290</v>
      </c>
      <c r="B279" t="s">
        <v>773</v>
      </c>
      <c r="C279" t="s">
        <v>828</v>
      </c>
      <c r="D279">
        <v>18</v>
      </c>
      <c r="E279" t="s">
        <v>832</v>
      </c>
      <c r="F279" t="s">
        <v>840</v>
      </c>
      <c r="G279">
        <v>83</v>
      </c>
      <c r="H279">
        <v>3.7</v>
      </c>
      <c r="I279">
        <v>58</v>
      </c>
      <c r="J279">
        <v>68</v>
      </c>
      <c r="K279">
        <v>57</v>
      </c>
      <c r="L279">
        <v>51</v>
      </c>
      <c r="M279">
        <v>54</v>
      </c>
      <c r="N279">
        <f>SUM(Table1[[#This Row],[Math_Marks]:[Social_Marks]])</f>
        <v>288</v>
      </c>
      <c r="O279">
        <f>AVERAGE(Table1[[#This Row],[Math_Marks]:[Social_Marks]])</f>
        <v>57.6</v>
      </c>
      <c r="P279" t="str">
        <f>IF(Table1[[#This Row],[Total_Marks]]&gt;=400,"Top Performer","Need Improvement")</f>
        <v>Need Improvement</v>
      </c>
      <c r="Q279" t="str">
        <f>IF(Table1[[#This Row],[Total_Marks]]&gt;=400,"Excellent",IF(Table1[[#This Row],[Total_Marks]]&gt;=300,"Good",IF(Table1[[#This Row],[Total_Marks]]&gt;=200,"Average","Below Average")))</f>
        <v>Average</v>
      </c>
    </row>
    <row r="280" spans="1:17" x14ac:dyDescent="0.3">
      <c r="A280" t="s">
        <v>291</v>
      </c>
      <c r="B280" t="s">
        <v>626</v>
      </c>
      <c r="C280" t="s">
        <v>828</v>
      </c>
      <c r="D280">
        <v>21</v>
      </c>
      <c r="E280" t="s">
        <v>832</v>
      </c>
      <c r="F280" t="s">
        <v>836</v>
      </c>
      <c r="G280">
        <v>86</v>
      </c>
      <c r="H280">
        <v>5.0999999999999996</v>
      </c>
      <c r="I280">
        <v>88</v>
      </c>
      <c r="J280">
        <v>73</v>
      </c>
      <c r="K280">
        <v>73</v>
      </c>
      <c r="L280">
        <v>80</v>
      </c>
      <c r="M280">
        <v>77</v>
      </c>
      <c r="N280">
        <f>SUM(Table1[[#This Row],[Math_Marks]:[Social_Marks]])</f>
        <v>391</v>
      </c>
      <c r="O280">
        <f>AVERAGE(Table1[[#This Row],[Math_Marks]:[Social_Marks]])</f>
        <v>78.2</v>
      </c>
      <c r="P280" t="str">
        <f>IF(Table1[[#This Row],[Total_Marks]]&gt;=400,"Top Performer","Need Improvement")</f>
        <v>Need Improvement</v>
      </c>
      <c r="Q280" t="str">
        <f>IF(Table1[[#This Row],[Total_Marks]]&gt;=400,"Excellent",IF(Table1[[#This Row],[Total_Marks]]&gt;=300,"Good",IF(Table1[[#This Row],[Total_Marks]]&gt;=200,"Average","Below Average")))</f>
        <v>Good</v>
      </c>
    </row>
    <row r="281" spans="1:17" x14ac:dyDescent="0.3">
      <c r="A281" t="s">
        <v>292</v>
      </c>
      <c r="B281" t="s">
        <v>649</v>
      </c>
      <c r="C281" t="s">
        <v>828</v>
      </c>
      <c r="D281">
        <v>19</v>
      </c>
      <c r="E281" t="s">
        <v>829</v>
      </c>
      <c r="F281" t="s">
        <v>840</v>
      </c>
      <c r="G281">
        <v>75</v>
      </c>
      <c r="H281">
        <v>3.3</v>
      </c>
      <c r="I281">
        <v>71</v>
      </c>
      <c r="J281">
        <v>89</v>
      </c>
      <c r="K281">
        <v>70</v>
      </c>
      <c r="L281">
        <v>67</v>
      </c>
      <c r="M281">
        <v>69</v>
      </c>
      <c r="N281">
        <f>SUM(Table1[[#This Row],[Math_Marks]:[Social_Marks]])</f>
        <v>366</v>
      </c>
      <c r="O281">
        <f>AVERAGE(Table1[[#This Row],[Math_Marks]:[Social_Marks]])</f>
        <v>73.2</v>
      </c>
      <c r="P281" t="str">
        <f>IF(Table1[[#This Row],[Total_Marks]]&gt;=400,"Top Performer","Need Improvement")</f>
        <v>Need Improvement</v>
      </c>
      <c r="Q281" t="str">
        <f>IF(Table1[[#This Row],[Total_Marks]]&gt;=400,"Excellent",IF(Table1[[#This Row],[Total_Marks]]&gt;=300,"Good",IF(Table1[[#This Row],[Total_Marks]]&gt;=200,"Average","Below Average")))</f>
        <v>Good</v>
      </c>
    </row>
    <row r="282" spans="1:17" x14ac:dyDescent="0.3">
      <c r="A282" t="s">
        <v>293</v>
      </c>
      <c r="B282" t="s">
        <v>671</v>
      </c>
      <c r="C282" t="s">
        <v>827</v>
      </c>
      <c r="D282">
        <v>20</v>
      </c>
      <c r="E282" t="s">
        <v>832</v>
      </c>
      <c r="F282" t="s">
        <v>840</v>
      </c>
      <c r="G282">
        <v>74</v>
      </c>
      <c r="H282">
        <v>5.0999999999999996</v>
      </c>
      <c r="I282">
        <v>57</v>
      </c>
      <c r="J282">
        <v>75</v>
      </c>
      <c r="K282">
        <v>79</v>
      </c>
      <c r="L282">
        <v>62</v>
      </c>
      <c r="M282">
        <v>69</v>
      </c>
      <c r="N282">
        <f>SUM(Table1[[#This Row],[Math_Marks]:[Social_Marks]])</f>
        <v>342</v>
      </c>
      <c r="O282">
        <f>AVERAGE(Table1[[#This Row],[Math_Marks]:[Social_Marks]])</f>
        <v>68.400000000000006</v>
      </c>
      <c r="P282" t="str">
        <f>IF(Table1[[#This Row],[Total_Marks]]&gt;=400,"Top Performer","Need Improvement")</f>
        <v>Need Improvement</v>
      </c>
      <c r="Q282" t="str">
        <f>IF(Table1[[#This Row],[Total_Marks]]&gt;=400,"Excellent",IF(Table1[[#This Row],[Total_Marks]]&gt;=300,"Good",IF(Table1[[#This Row],[Total_Marks]]&gt;=200,"Average","Below Average")))</f>
        <v>Good</v>
      </c>
    </row>
    <row r="283" spans="1:17" x14ac:dyDescent="0.3">
      <c r="A283" t="s">
        <v>294</v>
      </c>
      <c r="B283" t="s">
        <v>625</v>
      </c>
      <c r="C283" t="s">
        <v>827</v>
      </c>
      <c r="D283">
        <v>22</v>
      </c>
      <c r="E283" t="s">
        <v>829</v>
      </c>
      <c r="F283" t="s">
        <v>838</v>
      </c>
      <c r="G283">
        <v>77</v>
      </c>
      <c r="H283">
        <v>2.1</v>
      </c>
      <c r="I283">
        <v>54</v>
      </c>
      <c r="J283">
        <v>54</v>
      </c>
      <c r="K283">
        <v>64</v>
      </c>
      <c r="L283">
        <v>49</v>
      </c>
      <c r="M283">
        <v>51</v>
      </c>
      <c r="N283">
        <f>SUM(Table1[[#This Row],[Math_Marks]:[Social_Marks]])</f>
        <v>272</v>
      </c>
      <c r="O283">
        <f>AVERAGE(Table1[[#This Row],[Math_Marks]:[Social_Marks]])</f>
        <v>54.4</v>
      </c>
      <c r="P283" t="str">
        <f>IF(Table1[[#This Row],[Total_Marks]]&gt;=400,"Top Performer","Need Improvement")</f>
        <v>Need Improvement</v>
      </c>
      <c r="Q283" t="str">
        <f>IF(Table1[[#This Row],[Total_Marks]]&gt;=400,"Excellent",IF(Table1[[#This Row],[Total_Marks]]&gt;=300,"Good",IF(Table1[[#This Row],[Total_Marks]]&gt;=200,"Average","Below Average")))</f>
        <v>Average</v>
      </c>
    </row>
    <row r="284" spans="1:17" x14ac:dyDescent="0.3">
      <c r="A284" t="s">
        <v>295</v>
      </c>
      <c r="B284" t="s">
        <v>774</v>
      </c>
      <c r="C284" t="s">
        <v>828</v>
      </c>
      <c r="D284">
        <v>18</v>
      </c>
      <c r="E284" t="s">
        <v>834</v>
      </c>
      <c r="F284" t="s">
        <v>841</v>
      </c>
      <c r="G284">
        <v>76</v>
      </c>
      <c r="H284">
        <v>5.2</v>
      </c>
      <c r="I284">
        <v>78</v>
      </c>
      <c r="J284">
        <v>54</v>
      </c>
      <c r="K284">
        <v>74</v>
      </c>
      <c r="L284">
        <v>58</v>
      </c>
      <c r="M284">
        <v>79</v>
      </c>
      <c r="N284">
        <f>SUM(Table1[[#This Row],[Math_Marks]:[Social_Marks]])</f>
        <v>343</v>
      </c>
      <c r="O284">
        <f>AVERAGE(Table1[[#This Row],[Math_Marks]:[Social_Marks]])</f>
        <v>68.599999999999994</v>
      </c>
      <c r="P284" t="str">
        <f>IF(Table1[[#This Row],[Total_Marks]]&gt;=400,"Top Performer","Need Improvement")</f>
        <v>Need Improvement</v>
      </c>
      <c r="Q284" t="str">
        <f>IF(Table1[[#This Row],[Total_Marks]]&gt;=400,"Excellent",IF(Table1[[#This Row],[Total_Marks]]&gt;=300,"Good",IF(Table1[[#This Row],[Total_Marks]]&gt;=200,"Average","Below Average")))</f>
        <v>Good</v>
      </c>
    </row>
    <row r="285" spans="1:17" x14ac:dyDescent="0.3">
      <c r="A285" t="s">
        <v>296</v>
      </c>
      <c r="B285" t="s">
        <v>707</v>
      </c>
      <c r="C285" t="s">
        <v>828</v>
      </c>
      <c r="D285">
        <v>19</v>
      </c>
      <c r="E285" t="s">
        <v>834</v>
      </c>
      <c r="F285" t="s">
        <v>838</v>
      </c>
      <c r="G285">
        <v>89</v>
      </c>
      <c r="H285">
        <v>5.4</v>
      </c>
      <c r="I285">
        <v>72</v>
      </c>
      <c r="J285">
        <v>78</v>
      </c>
      <c r="K285">
        <v>73</v>
      </c>
      <c r="L285">
        <v>61</v>
      </c>
      <c r="M285">
        <v>65</v>
      </c>
      <c r="N285">
        <f>SUM(Table1[[#This Row],[Math_Marks]:[Social_Marks]])</f>
        <v>349</v>
      </c>
      <c r="O285">
        <f>AVERAGE(Table1[[#This Row],[Math_Marks]:[Social_Marks]])</f>
        <v>69.8</v>
      </c>
      <c r="P285" t="str">
        <f>IF(Table1[[#This Row],[Total_Marks]]&gt;=400,"Top Performer","Need Improvement")</f>
        <v>Need Improvement</v>
      </c>
      <c r="Q285" t="str">
        <f>IF(Table1[[#This Row],[Total_Marks]]&gt;=400,"Excellent",IF(Table1[[#This Row],[Total_Marks]]&gt;=300,"Good",IF(Table1[[#This Row],[Total_Marks]]&gt;=200,"Average","Below Average")))</f>
        <v>Good</v>
      </c>
    </row>
    <row r="286" spans="1:17" x14ac:dyDescent="0.3">
      <c r="A286" t="s">
        <v>297</v>
      </c>
      <c r="B286" t="s">
        <v>775</v>
      </c>
      <c r="C286" t="s">
        <v>827</v>
      </c>
      <c r="D286">
        <v>22</v>
      </c>
      <c r="E286" t="s">
        <v>833</v>
      </c>
      <c r="F286" t="s">
        <v>837</v>
      </c>
      <c r="G286">
        <v>89</v>
      </c>
      <c r="H286">
        <v>4.2</v>
      </c>
      <c r="I286">
        <v>67</v>
      </c>
      <c r="J286">
        <v>71</v>
      </c>
      <c r="K286">
        <v>66</v>
      </c>
      <c r="L286">
        <v>63</v>
      </c>
      <c r="M286">
        <v>75</v>
      </c>
      <c r="N286">
        <f>SUM(Table1[[#This Row],[Math_Marks]:[Social_Marks]])</f>
        <v>342</v>
      </c>
      <c r="O286">
        <f>AVERAGE(Table1[[#This Row],[Math_Marks]:[Social_Marks]])</f>
        <v>68.400000000000006</v>
      </c>
      <c r="P286" t="str">
        <f>IF(Table1[[#This Row],[Total_Marks]]&gt;=400,"Top Performer","Need Improvement")</f>
        <v>Need Improvement</v>
      </c>
      <c r="Q286" t="str">
        <f>IF(Table1[[#This Row],[Total_Marks]]&gt;=400,"Excellent",IF(Table1[[#This Row],[Total_Marks]]&gt;=300,"Good",IF(Table1[[#This Row],[Total_Marks]]&gt;=200,"Average","Below Average")))</f>
        <v>Good</v>
      </c>
    </row>
    <row r="287" spans="1:17" x14ac:dyDescent="0.3">
      <c r="A287" t="s">
        <v>298</v>
      </c>
      <c r="B287" t="s">
        <v>656</v>
      </c>
      <c r="C287" t="s">
        <v>828</v>
      </c>
      <c r="D287">
        <v>20</v>
      </c>
      <c r="E287" t="s">
        <v>830</v>
      </c>
      <c r="F287" t="s">
        <v>838</v>
      </c>
      <c r="G287">
        <v>84</v>
      </c>
      <c r="H287">
        <v>4.5999999999999996</v>
      </c>
      <c r="I287">
        <v>71</v>
      </c>
      <c r="J287">
        <v>62</v>
      </c>
      <c r="K287">
        <v>71</v>
      </c>
      <c r="L287">
        <v>73</v>
      </c>
      <c r="M287">
        <v>62</v>
      </c>
      <c r="N287">
        <f>SUM(Table1[[#This Row],[Math_Marks]:[Social_Marks]])</f>
        <v>339</v>
      </c>
      <c r="O287">
        <f>AVERAGE(Table1[[#This Row],[Math_Marks]:[Social_Marks]])</f>
        <v>67.8</v>
      </c>
      <c r="P287" t="str">
        <f>IF(Table1[[#This Row],[Total_Marks]]&gt;=400,"Top Performer","Need Improvement")</f>
        <v>Need Improvement</v>
      </c>
      <c r="Q287" t="str">
        <f>IF(Table1[[#This Row],[Total_Marks]]&gt;=400,"Excellent",IF(Table1[[#This Row],[Total_Marks]]&gt;=300,"Good",IF(Table1[[#This Row],[Total_Marks]]&gt;=200,"Average","Below Average")))</f>
        <v>Good</v>
      </c>
    </row>
    <row r="288" spans="1:17" x14ac:dyDescent="0.3">
      <c r="A288" t="s">
        <v>299</v>
      </c>
      <c r="B288" t="s">
        <v>666</v>
      </c>
      <c r="C288" t="s">
        <v>827</v>
      </c>
      <c r="D288">
        <v>19</v>
      </c>
      <c r="E288" t="s">
        <v>833</v>
      </c>
      <c r="F288" t="s">
        <v>838</v>
      </c>
      <c r="G288">
        <v>71</v>
      </c>
      <c r="H288">
        <v>5.7</v>
      </c>
      <c r="I288">
        <v>81</v>
      </c>
      <c r="J288">
        <v>93</v>
      </c>
      <c r="K288">
        <v>75</v>
      </c>
      <c r="L288">
        <v>98</v>
      </c>
      <c r="M288">
        <v>75</v>
      </c>
      <c r="N288">
        <f>SUM(Table1[[#This Row],[Math_Marks]:[Social_Marks]])</f>
        <v>422</v>
      </c>
      <c r="O288">
        <f>AVERAGE(Table1[[#This Row],[Math_Marks]:[Social_Marks]])</f>
        <v>84.4</v>
      </c>
      <c r="P288" t="str">
        <f>IF(Table1[[#This Row],[Total_Marks]]&gt;=400,"Top Performer","Need Improvement")</f>
        <v>Top Performer</v>
      </c>
      <c r="Q288" t="str">
        <f>IF(Table1[[#This Row],[Total_Marks]]&gt;=400,"Excellent",IF(Table1[[#This Row],[Total_Marks]]&gt;=300,"Good",IF(Table1[[#This Row],[Total_Marks]]&gt;=200,"Average","Below Average")))</f>
        <v>Excellent</v>
      </c>
    </row>
    <row r="289" spans="1:17" x14ac:dyDescent="0.3">
      <c r="A289" t="s">
        <v>300</v>
      </c>
      <c r="B289" t="s">
        <v>776</v>
      </c>
      <c r="C289" t="s">
        <v>828</v>
      </c>
      <c r="D289">
        <v>22</v>
      </c>
      <c r="E289" t="s">
        <v>832</v>
      </c>
      <c r="F289" t="s">
        <v>842</v>
      </c>
      <c r="G289">
        <v>89</v>
      </c>
      <c r="H289">
        <v>3.6</v>
      </c>
      <c r="I289">
        <v>79</v>
      </c>
      <c r="J289">
        <v>80</v>
      </c>
      <c r="K289">
        <v>70</v>
      </c>
      <c r="L289">
        <v>81</v>
      </c>
      <c r="M289">
        <v>76</v>
      </c>
      <c r="N289">
        <f>SUM(Table1[[#This Row],[Math_Marks]:[Social_Marks]])</f>
        <v>386</v>
      </c>
      <c r="O289">
        <f>AVERAGE(Table1[[#This Row],[Math_Marks]:[Social_Marks]])</f>
        <v>77.2</v>
      </c>
      <c r="P289" t="str">
        <f>IF(Table1[[#This Row],[Total_Marks]]&gt;=400,"Top Performer","Need Improvement")</f>
        <v>Need Improvement</v>
      </c>
      <c r="Q289" t="str">
        <f>IF(Table1[[#This Row],[Total_Marks]]&gt;=400,"Excellent",IF(Table1[[#This Row],[Total_Marks]]&gt;=300,"Good",IF(Table1[[#This Row],[Total_Marks]]&gt;=200,"Average","Below Average")))</f>
        <v>Good</v>
      </c>
    </row>
    <row r="290" spans="1:17" x14ac:dyDescent="0.3">
      <c r="A290" t="s">
        <v>301</v>
      </c>
      <c r="B290" t="s">
        <v>777</v>
      </c>
      <c r="C290" t="s">
        <v>827</v>
      </c>
      <c r="D290">
        <v>19</v>
      </c>
      <c r="E290" t="s">
        <v>829</v>
      </c>
      <c r="F290" t="s">
        <v>838</v>
      </c>
      <c r="G290">
        <v>79</v>
      </c>
      <c r="H290">
        <v>1.6</v>
      </c>
      <c r="I290">
        <v>49</v>
      </c>
      <c r="J290">
        <v>54</v>
      </c>
      <c r="K290">
        <v>54</v>
      </c>
      <c r="L290">
        <v>55</v>
      </c>
      <c r="M290">
        <v>45</v>
      </c>
      <c r="N290">
        <f>SUM(Table1[[#This Row],[Math_Marks]:[Social_Marks]])</f>
        <v>257</v>
      </c>
      <c r="O290">
        <f>AVERAGE(Table1[[#This Row],[Math_Marks]:[Social_Marks]])</f>
        <v>51.4</v>
      </c>
      <c r="P290" t="str">
        <f>IF(Table1[[#This Row],[Total_Marks]]&gt;=400,"Top Performer","Need Improvement")</f>
        <v>Need Improvement</v>
      </c>
      <c r="Q290" t="str">
        <f>IF(Table1[[#This Row],[Total_Marks]]&gt;=400,"Excellent",IF(Table1[[#This Row],[Total_Marks]]&gt;=300,"Good",IF(Table1[[#This Row],[Total_Marks]]&gt;=200,"Average","Below Average")))</f>
        <v>Average</v>
      </c>
    </row>
    <row r="291" spans="1:17" x14ac:dyDescent="0.3">
      <c r="A291" t="s">
        <v>302</v>
      </c>
      <c r="B291" t="s">
        <v>758</v>
      </c>
      <c r="C291" t="s">
        <v>828</v>
      </c>
      <c r="D291">
        <v>21</v>
      </c>
      <c r="E291" t="s">
        <v>830</v>
      </c>
      <c r="F291" t="s">
        <v>840</v>
      </c>
      <c r="G291">
        <v>73</v>
      </c>
      <c r="H291">
        <v>2</v>
      </c>
      <c r="I291">
        <v>68</v>
      </c>
      <c r="J291">
        <v>70</v>
      </c>
      <c r="K291">
        <v>63</v>
      </c>
      <c r="L291">
        <v>69</v>
      </c>
      <c r="M291">
        <v>48</v>
      </c>
      <c r="N291">
        <f>SUM(Table1[[#This Row],[Math_Marks]:[Social_Marks]])</f>
        <v>318</v>
      </c>
      <c r="O291">
        <f>AVERAGE(Table1[[#This Row],[Math_Marks]:[Social_Marks]])</f>
        <v>63.6</v>
      </c>
      <c r="P291" t="str">
        <f>IF(Table1[[#This Row],[Total_Marks]]&gt;=400,"Top Performer","Need Improvement")</f>
        <v>Need Improvement</v>
      </c>
      <c r="Q291" t="str">
        <f>IF(Table1[[#This Row],[Total_Marks]]&gt;=400,"Excellent",IF(Table1[[#This Row],[Total_Marks]]&gt;=300,"Good",IF(Table1[[#This Row],[Total_Marks]]&gt;=200,"Average","Below Average")))</f>
        <v>Good</v>
      </c>
    </row>
    <row r="292" spans="1:17" x14ac:dyDescent="0.3">
      <c r="A292" t="s">
        <v>303</v>
      </c>
      <c r="B292" t="s">
        <v>747</v>
      </c>
      <c r="C292" t="s">
        <v>828</v>
      </c>
      <c r="D292">
        <v>22</v>
      </c>
      <c r="E292" t="s">
        <v>832</v>
      </c>
      <c r="F292" t="s">
        <v>839</v>
      </c>
      <c r="G292">
        <v>85</v>
      </c>
      <c r="H292">
        <v>2.2999999999999998</v>
      </c>
      <c r="I292">
        <v>43</v>
      </c>
      <c r="J292">
        <v>53</v>
      </c>
      <c r="K292">
        <v>54</v>
      </c>
      <c r="L292">
        <v>37</v>
      </c>
      <c r="M292">
        <v>41</v>
      </c>
      <c r="N292">
        <f>SUM(Table1[[#This Row],[Math_Marks]:[Social_Marks]])</f>
        <v>228</v>
      </c>
      <c r="O292">
        <f>AVERAGE(Table1[[#This Row],[Math_Marks]:[Social_Marks]])</f>
        <v>45.6</v>
      </c>
      <c r="P292" t="str">
        <f>IF(Table1[[#This Row],[Total_Marks]]&gt;=400,"Top Performer","Need Improvement")</f>
        <v>Need Improvement</v>
      </c>
      <c r="Q292" t="str">
        <f>IF(Table1[[#This Row],[Total_Marks]]&gt;=400,"Excellent",IF(Table1[[#This Row],[Total_Marks]]&gt;=300,"Good",IF(Table1[[#This Row],[Total_Marks]]&gt;=200,"Average","Below Average")))</f>
        <v>Average</v>
      </c>
    </row>
    <row r="293" spans="1:17" x14ac:dyDescent="0.3">
      <c r="A293" t="s">
        <v>304</v>
      </c>
      <c r="B293" t="s">
        <v>778</v>
      </c>
      <c r="C293" t="s">
        <v>827</v>
      </c>
      <c r="D293">
        <v>22</v>
      </c>
      <c r="E293" t="s">
        <v>829</v>
      </c>
      <c r="F293" t="s">
        <v>842</v>
      </c>
      <c r="G293">
        <v>69</v>
      </c>
      <c r="H293">
        <v>2.6</v>
      </c>
      <c r="I293">
        <v>48</v>
      </c>
      <c r="J293">
        <v>56</v>
      </c>
      <c r="K293">
        <v>66</v>
      </c>
      <c r="L293">
        <v>47</v>
      </c>
      <c r="M293">
        <v>56</v>
      </c>
      <c r="N293">
        <f>SUM(Table1[[#This Row],[Math_Marks]:[Social_Marks]])</f>
        <v>273</v>
      </c>
      <c r="O293">
        <f>AVERAGE(Table1[[#This Row],[Math_Marks]:[Social_Marks]])</f>
        <v>54.6</v>
      </c>
      <c r="P293" t="str">
        <f>IF(Table1[[#This Row],[Total_Marks]]&gt;=400,"Top Performer","Need Improvement")</f>
        <v>Need Improvement</v>
      </c>
      <c r="Q293" t="str">
        <f>IF(Table1[[#This Row],[Total_Marks]]&gt;=400,"Excellent",IF(Table1[[#This Row],[Total_Marks]]&gt;=300,"Good",IF(Table1[[#This Row],[Total_Marks]]&gt;=200,"Average","Below Average")))</f>
        <v>Average</v>
      </c>
    </row>
    <row r="294" spans="1:17" x14ac:dyDescent="0.3">
      <c r="A294" t="s">
        <v>305</v>
      </c>
      <c r="B294" t="s">
        <v>647</v>
      </c>
      <c r="C294" t="s">
        <v>828</v>
      </c>
      <c r="D294">
        <v>20</v>
      </c>
      <c r="E294" t="s">
        <v>834</v>
      </c>
      <c r="F294" t="s">
        <v>835</v>
      </c>
      <c r="G294">
        <v>92</v>
      </c>
      <c r="H294">
        <v>3.3</v>
      </c>
      <c r="I294">
        <v>76</v>
      </c>
      <c r="J294">
        <v>69</v>
      </c>
      <c r="K294">
        <v>76</v>
      </c>
      <c r="L294">
        <v>75</v>
      </c>
      <c r="M294">
        <v>80</v>
      </c>
      <c r="N294">
        <f>SUM(Table1[[#This Row],[Math_Marks]:[Social_Marks]])</f>
        <v>376</v>
      </c>
      <c r="O294">
        <f>AVERAGE(Table1[[#This Row],[Math_Marks]:[Social_Marks]])</f>
        <v>75.2</v>
      </c>
      <c r="P294" t="str">
        <f>IF(Table1[[#This Row],[Total_Marks]]&gt;=400,"Top Performer","Need Improvement")</f>
        <v>Need Improvement</v>
      </c>
      <c r="Q294" t="str">
        <f>IF(Table1[[#This Row],[Total_Marks]]&gt;=400,"Excellent",IF(Table1[[#This Row],[Total_Marks]]&gt;=300,"Good",IF(Table1[[#This Row],[Total_Marks]]&gt;=200,"Average","Below Average")))</f>
        <v>Good</v>
      </c>
    </row>
    <row r="295" spans="1:17" x14ac:dyDescent="0.3">
      <c r="A295" t="s">
        <v>306</v>
      </c>
      <c r="B295" t="s">
        <v>631</v>
      </c>
      <c r="C295" t="s">
        <v>827</v>
      </c>
      <c r="D295">
        <v>18</v>
      </c>
      <c r="E295" t="s">
        <v>830</v>
      </c>
      <c r="F295" t="s">
        <v>837</v>
      </c>
      <c r="G295">
        <v>88</v>
      </c>
      <c r="H295">
        <v>2.2999999999999998</v>
      </c>
      <c r="I295">
        <v>70</v>
      </c>
      <c r="J295">
        <v>56</v>
      </c>
      <c r="K295">
        <v>76</v>
      </c>
      <c r="L295">
        <v>85</v>
      </c>
      <c r="M295">
        <v>75</v>
      </c>
      <c r="N295">
        <f>SUM(Table1[[#This Row],[Math_Marks]:[Social_Marks]])</f>
        <v>362</v>
      </c>
      <c r="O295">
        <f>AVERAGE(Table1[[#This Row],[Math_Marks]:[Social_Marks]])</f>
        <v>72.400000000000006</v>
      </c>
      <c r="P295" t="str">
        <f>IF(Table1[[#This Row],[Total_Marks]]&gt;=400,"Top Performer","Need Improvement")</f>
        <v>Need Improvement</v>
      </c>
      <c r="Q295" t="str">
        <f>IF(Table1[[#This Row],[Total_Marks]]&gt;=400,"Excellent",IF(Table1[[#This Row],[Total_Marks]]&gt;=300,"Good",IF(Table1[[#This Row],[Total_Marks]]&gt;=200,"Average","Below Average")))</f>
        <v>Good</v>
      </c>
    </row>
    <row r="296" spans="1:17" x14ac:dyDescent="0.3">
      <c r="A296" t="s">
        <v>307</v>
      </c>
      <c r="B296" t="s">
        <v>615</v>
      </c>
      <c r="C296" t="s">
        <v>827</v>
      </c>
      <c r="D296">
        <v>22</v>
      </c>
      <c r="E296" t="s">
        <v>834</v>
      </c>
      <c r="F296" t="s">
        <v>839</v>
      </c>
      <c r="G296">
        <v>65</v>
      </c>
      <c r="H296">
        <v>4.2</v>
      </c>
      <c r="I296">
        <v>51</v>
      </c>
      <c r="J296">
        <v>57</v>
      </c>
      <c r="K296">
        <v>63</v>
      </c>
      <c r="L296">
        <v>46</v>
      </c>
      <c r="M296">
        <v>54</v>
      </c>
      <c r="N296">
        <f>SUM(Table1[[#This Row],[Math_Marks]:[Social_Marks]])</f>
        <v>271</v>
      </c>
      <c r="O296">
        <f>AVERAGE(Table1[[#This Row],[Math_Marks]:[Social_Marks]])</f>
        <v>54.2</v>
      </c>
      <c r="P296" t="str">
        <f>IF(Table1[[#This Row],[Total_Marks]]&gt;=400,"Top Performer","Need Improvement")</f>
        <v>Need Improvement</v>
      </c>
      <c r="Q296" t="str">
        <f>IF(Table1[[#This Row],[Total_Marks]]&gt;=400,"Excellent",IF(Table1[[#This Row],[Total_Marks]]&gt;=300,"Good",IF(Table1[[#This Row],[Total_Marks]]&gt;=200,"Average","Below Average")))</f>
        <v>Average</v>
      </c>
    </row>
    <row r="297" spans="1:17" x14ac:dyDescent="0.3">
      <c r="A297" t="s">
        <v>308</v>
      </c>
      <c r="B297" t="s">
        <v>625</v>
      </c>
      <c r="C297" t="s">
        <v>827</v>
      </c>
      <c r="D297">
        <v>18</v>
      </c>
      <c r="E297" t="s">
        <v>833</v>
      </c>
      <c r="F297" t="s">
        <v>840</v>
      </c>
      <c r="G297">
        <v>77</v>
      </c>
      <c r="H297">
        <v>4.5999999999999996</v>
      </c>
      <c r="I297">
        <v>80</v>
      </c>
      <c r="J297">
        <v>81</v>
      </c>
      <c r="K297">
        <v>65</v>
      </c>
      <c r="L297">
        <v>83</v>
      </c>
      <c r="M297">
        <v>67</v>
      </c>
      <c r="N297">
        <f>SUM(Table1[[#This Row],[Math_Marks]:[Social_Marks]])</f>
        <v>376</v>
      </c>
      <c r="O297">
        <f>AVERAGE(Table1[[#This Row],[Math_Marks]:[Social_Marks]])</f>
        <v>75.2</v>
      </c>
      <c r="P297" t="str">
        <f>IF(Table1[[#This Row],[Total_Marks]]&gt;=400,"Top Performer","Need Improvement")</f>
        <v>Need Improvement</v>
      </c>
      <c r="Q297" t="str">
        <f>IF(Table1[[#This Row],[Total_Marks]]&gt;=400,"Excellent",IF(Table1[[#This Row],[Total_Marks]]&gt;=300,"Good",IF(Table1[[#This Row],[Total_Marks]]&gt;=200,"Average","Below Average")))</f>
        <v>Good</v>
      </c>
    </row>
    <row r="298" spans="1:17" x14ac:dyDescent="0.3">
      <c r="A298" t="s">
        <v>309</v>
      </c>
      <c r="B298" t="s">
        <v>725</v>
      </c>
      <c r="C298" t="s">
        <v>828</v>
      </c>
      <c r="D298">
        <v>22</v>
      </c>
      <c r="E298" t="s">
        <v>833</v>
      </c>
      <c r="F298" t="s">
        <v>839</v>
      </c>
      <c r="G298">
        <v>85</v>
      </c>
      <c r="H298">
        <v>2.5</v>
      </c>
      <c r="I298">
        <v>57</v>
      </c>
      <c r="J298">
        <v>52</v>
      </c>
      <c r="K298">
        <v>59</v>
      </c>
      <c r="L298">
        <v>50</v>
      </c>
      <c r="M298">
        <v>39</v>
      </c>
      <c r="N298">
        <f>SUM(Table1[[#This Row],[Math_Marks]:[Social_Marks]])</f>
        <v>257</v>
      </c>
      <c r="O298">
        <f>AVERAGE(Table1[[#This Row],[Math_Marks]:[Social_Marks]])</f>
        <v>51.4</v>
      </c>
      <c r="P298" t="str">
        <f>IF(Table1[[#This Row],[Total_Marks]]&gt;=400,"Top Performer","Need Improvement")</f>
        <v>Need Improvement</v>
      </c>
      <c r="Q298" t="str">
        <f>IF(Table1[[#This Row],[Total_Marks]]&gt;=400,"Excellent",IF(Table1[[#This Row],[Total_Marks]]&gt;=300,"Good",IF(Table1[[#This Row],[Total_Marks]]&gt;=200,"Average","Below Average")))</f>
        <v>Average</v>
      </c>
    </row>
    <row r="299" spans="1:17" x14ac:dyDescent="0.3">
      <c r="A299" t="s">
        <v>310</v>
      </c>
      <c r="B299" t="s">
        <v>742</v>
      </c>
      <c r="C299" t="s">
        <v>827</v>
      </c>
      <c r="D299">
        <v>21</v>
      </c>
      <c r="E299" t="s">
        <v>832</v>
      </c>
      <c r="F299" t="s">
        <v>838</v>
      </c>
      <c r="G299">
        <v>76</v>
      </c>
      <c r="H299">
        <v>6.3</v>
      </c>
      <c r="I299">
        <v>64</v>
      </c>
      <c r="J299">
        <v>68</v>
      </c>
      <c r="K299">
        <v>58</v>
      </c>
      <c r="L299">
        <v>69</v>
      </c>
      <c r="M299">
        <v>80</v>
      </c>
      <c r="N299">
        <f>SUM(Table1[[#This Row],[Math_Marks]:[Social_Marks]])</f>
        <v>339</v>
      </c>
      <c r="O299">
        <f>AVERAGE(Table1[[#This Row],[Math_Marks]:[Social_Marks]])</f>
        <v>67.8</v>
      </c>
      <c r="P299" t="str">
        <f>IF(Table1[[#This Row],[Total_Marks]]&gt;=400,"Top Performer","Need Improvement")</f>
        <v>Need Improvement</v>
      </c>
      <c r="Q299" t="str">
        <f>IF(Table1[[#This Row],[Total_Marks]]&gt;=400,"Excellent",IF(Table1[[#This Row],[Total_Marks]]&gt;=300,"Good",IF(Table1[[#This Row],[Total_Marks]]&gt;=200,"Average","Below Average")))</f>
        <v>Good</v>
      </c>
    </row>
    <row r="300" spans="1:17" x14ac:dyDescent="0.3">
      <c r="A300" t="s">
        <v>311</v>
      </c>
      <c r="B300" t="s">
        <v>640</v>
      </c>
      <c r="C300" t="s">
        <v>828</v>
      </c>
      <c r="D300">
        <v>18</v>
      </c>
      <c r="E300" t="s">
        <v>833</v>
      </c>
      <c r="F300" t="s">
        <v>838</v>
      </c>
      <c r="G300">
        <v>81</v>
      </c>
      <c r="H300">
        <v>3.3</v>
      </c>
      <c r="I300">
        <v>65</v>
      </c>
      <c r="J300">
        <v>54</v>
      </c>
      <c r="K300">
        <v>55</v>
      </c>
      <c r="L300">
        <v>53</v>
      </c>
      <c r="M300">
        <v>41</v>
      </c>
      <c r="N300">
        <f>SUM(Table1[[#This Row],[Math_Marks]:[Social_Marks]])</f>
        <v>268</v>
      </c>
      <c r="O300">
        <f>AVERAGE(Table1[[#This Row],[Math_Marks]:[Social_Marks]])</f>
        <v>53.6</v>
      </c>
      <c r="P300" t="str">
        <f>IF(Table1[[#This Row],[Total_Marks]]&gt;=400,"Top Performer","Need Improvement")</f>
        <v>Need Improvement</v>
      </c>
      <c r="Q300" t="str">
        <f>IF(Table1[[#This Row],[Total_Marks]]&gt;=400,"Excellent",IF(Table1[[#This Row],[Total_Marks]]&gt;=300,"Good",IF(Table1[[#This Row],[Total_Marks]]&gt;=200,"Average","Below Average")))</f>
        <v>Average</v>
      </c>
    </row>
    <row r="301" spans="1:17" x14ac:dyDescent="0.3">
      <c r="A301" t="s">
        <v>312</v>
      </c>
      <c r="B301" t="s">
        <v>721</v>
      </c>
      <c r="C301" t="s">
        <v>828</v>
      </c>
      <c r="D301">
        <v>19</v>
      </c>
      <c r="E301" t="s">
        <v>832</v>
      </c>
      <c r="F301" t="s">
        <v>839</v>
      </c>
      <c r="G301">
        <v>75</v>
      </c>
      <c r="H301">
        <v>3.2</v>
      </c>
      <c r="I301">
        <v>79</v>
      </c>
      <c r="J301">
        <v>68</v>
      </c>
      <c r="K301">
        <v>83</v>
      </c>
      <c r="L301">
        <v>67</v>
      </c>
      <c r="M301">
        <v>81</v>
      </c>
      <c r="N301">
        <f>SUM(Table1[[#This Row],[Math_Marks]:[Social_Marks]])</f>
        <v>378</v>
      </c>
      <c r="O301">
        <f>AVERAGE(Table1[[#This Row],[Math_Marks]:[Social_Marks]])</f>
        <v>75.599999999999994</v>
      </c>
      <c r="P301" t="str">
        <f>IF(Table1[[#This Row],[Total_Marks]]&gt;=400,"Top Performer","Need Improvement")</f>
        <v>Need Improvement</v>
      </c>
      <c r="Q301" t="str">
        <f>IF(Table1[[#This Row],[Total_Marks]]&gt;=400,"Excellent",IF(Table1[[#This Row],[Total_Marks]]&gt;=300,"Good",IF(Table1[[#This Row],[Total_Marks]]&gt;=200,"Average","Below Average")))</f>
        <v>Good</v>
      </c>
    </row>
    <row r="302" spans="1:17" x14ac:dyDescent="0.3">
      <c r="A302" t="s">
        <v>313</v>
      </c>
      <c r="B302" t="s">
        <v>704</v>
      </c>
      <c r="C302" t="s">
        <v>828</v>
      </c>
      <c r="D302">
        <v>21</v>
      </c>
      <c r="E302" t="s">
        <v>832</v>
      </c>
      <c r="F302" t="s">
        <v>842</v>
      </c>
      <c r="G302">
        <v>72</v>
      </c>
      <c r="H302">
        <v>3.5</v>
      </c>
      <c r="I302">
        <v>59</v>
      </c>
      <c r="J302">
        <v>67</v>
      </c>
      <c r="K302">
        <v>58</v>
      </c>
      <c r="L302">
        <v>68</v>
      </c>
      <c r="M302">
        <v>66</v>
      </c>
      <c r="N302">
        <f>SUM(Table1[[#This Row],[Math_Marks]:[Social_Marks]])</f>
        <v>318</v>
      </c>
      <c r="O302">
        <f>AVERAGE(Table1[[#This Row],[Math_Marks]:[Social_Marks]])</f>
        <v>63.6</v>
      </c>
      <c r="P302" t="str">
        <f>IF(Table1[[#This Row],[Total_Marks]]&gt;=400,"Top Performer","Need Improvement")</f>
        <v>Need Improvement</v>
      </c>
      <c r="Q302" t="str">
        <f>IF(Table1[[#This Row],[Total_Marks]]&gt;=400,"Excellent",IF(Table1[[#This Row],[Total_Marks]]&gt;=300,"Good",IF(Table1[[#This Row],[Total_Marks]]&gt;=200,"Average","Below Average")))</f>
        <v>Good</v>
      </c>
    </row>
    <row r="303" spans="1:17" x14ac:dyDescent="0.3">
      <c r="A303" t="s">
        <v>314</v>
      </c>
      <c r="B303" t="s">
        <v>670</v>
      </c>
      <c r="C303" t="s">
        <v>827</v>
      </c>
      <c r="D303">
        <v>21</v>
      </c>
      <c r="E303" t="s">
        <v>829</v>
      </c>
      <c r="F303" t="s">
        <v>838</v>
      </c>
      <c r="G303">
        <v>86</v>
      </c>
      <c r="H303">
        <v>6.9</v>
      </c>
      <c r="I303">
        <v>92</v>
      </c>
      <c r="J303">
        <v>98</v>
      </c>
      <c r="K303">
        <v>88</v>
      </c>
      <c r="L303">
        <v>88</v>
      </c>
      <c r="M303">
        <v>90</v>
      </c>
      <c r="N303">
        <f>SUM(Table1[[#This Row],[Math_Marks]:[Social_Marks]])</f>
        <v>456</v>
      </c>
      <c r="O303">
        <f>AVERAGE(Table1[[#This Row],[Math_Marks]:[Social_Marks]])</f>
        <v>91.2</v>
      </c>
      <c r="P303" t="str">
        <f>IF(Table1[[#This Row],[Total_Marks]]&gt;=400,"Top Performer","Need Improvement")</f>
        <v>Top Performer</v>
      </c>
      <c r="Q303" t="str">
        <f>IF(Table1[[#This Row],[Total_Marks]]&gt;=400,"Excellent",IF(Table1[[#This Row],[Total_Marks]]&gt;=300,"Good",IF(Table1[[#This Row],[Total_Marks]]&gt;=200,"Average","Below Average")))</f>
        <v>Excellent</v>
      </c>
    </row>
    <row r="304" spans="1:17" x14ac:dyDescent="0.3">
      <c r="A304" t="s">
        <v>315</v>
      </c>
      <c r="B304" t="s">
        <v>691</v>
      </c>
      <c r="C304" t="s">
        <v>828</v>
      </c>
      <c r="D304">
        <v>22</v>
      </c>
      <c r="E304" t="s">
        <v>830</v>
      </c>
      <c r="F304" t="s">
        <v>840</v>
      </c>
      <c r="G304">
        <v>87</v>
      </c>
      <c r="H304">
        <v>3.5</v>
      </c>
      <c r="I304">
        <v>74</v>
      </c>
      <c r="J304">
        <v>72</v>
      </c>
      <c r="K304">
        <v>64</v>
      </c>
      <c r="L304">
        <v>60</v>
      </c>
      <c r="M304">
        <v>74</v>
      </c>
      <c r="N304">
        <f>SUM(Table1[[#This Row],[Math_Marks]:[Social_Marks]])</f>
        <v>344</v>
      </c>
      <c r="O304">
        <f>AVERAGE(Table1[[#This Row],[Math_Marks]:[Social_Marks]])</f>
        <v>68.8</v>
      </c>
      <c r="P304" t="str">
        <f>IF(Table1[[#This Row],[Total_Marks]]&gt;=400,"Top Performer","Need Improvement")</f>
        <v>Need Improvement</v>
      </c>
      <c r="Q304" t="str">
        <f>IF(Table1[[#This Row],[Total_Marks]]&gt;=400,"Excellent",IF(Table1[[#This Row],[Total_Marks]]&gt;=300,"Good",IF(Table1[[#This Row],[Total_Marks]]&gt;=200,"Average","Below Average")))</f>
        <v>Good</v>
      </c>
    </row>
    <row r="305" spans="1:17" x14ac:dyDescent="0.3">
      <c r="A305" t="s">
        <v>316</v>
      </c>
      <c r="B305" t="s">
        <v>779</v>
      </c>
      <c r="C305" t="s">
        <v>828</v>
      </c>
      <c r="D305">
        <v>18</v>
      </c>
      <c r="E305" t="s">
        <v>833</v>
      </c>
      <c r="F305" t="s">
        <v>837</v>
      </c>
      <c r="G305">
        <v>83</v>
      </c>
      <c r="H305">
        <v>5</v>
      </c>
      <c r="I305">
        <v>78</v>
      </c>
      <c r="J305">
        <v>80</v>
      </c>
      <c r="K305">
        <v>76</v>
      </c>
      <c r="L305">
        <v>70</v>
      </c>
      <c r="M305">
        <v>74</v>
      </c>
      <c r="N305">
        <f>SUM(Table1[[#This Row],[Math_Marks]:[Social_Marks]])</f>
        <v>378</v>
      </c>
      <c r="O305">
        <f>AVERAGE(Table1[[#This Row],[Math_Marks]:[Social_Marks]])</f>
        <v>75.599999999999994</v>
      </c>
      <c r="P305" t="str">
        <f>IF(Table1[[#This Row],[Total_Marks]]&gt;=400,"Top Performer","Need Improvement")</f>
        <v>Need Improvement</v>
      </c>
      <c r="Q305" t="str">
        <f>IF(Table1[[#This Row],[Total_Marks]]&gt;=400,"Excellent",IF(Table1[[#This Row],[Total_Marks]]&gt;=300,"Good",IF(Table1[[#This Row],[Total_Marks]]&gt;=200,"Average","Below Average")))</f>
        <v>Good</v>
      </c>
    </row>
    <row r="306" spans="1:17" x14ac:dyDescent="0.3">
      <c r="A306" t="s">
        <v>317</v>
      </c>
      <c r="B306" t="s">
        <v>626</v>
      </c>
      <c r="C306" t="s">
        <v>827</v>
      </c>
      <c r="D306">
        <v>21</v>
      </c>
      <c r="E306" t="s">
        <v>830</v>
      </c>
      <c r="F306" t="s">
        <v>838</v>
      </c>
      <c r="G306">
        <v>78</v>
      </c>
      <c r="H306">
        <v>3.9</v>
      </c>
      <c r="I306">
        <v>60</v>
      </c>
      <c r="J306">
        <v>66</v>
      </c>
      <c r="K306">
        <v>53</v>
      </c>
      <c r="L306">
        <v>49</v>
      </c>
      <c r="M306">
        <v>59</v>
      </c>
      <c r="N306">
        <f>SUM(Table1[[#This Row],[Math_Marks]:[Social_Marks]])</f>
        <v>287</v>
      </c>
      <c r="O306">
        <f>AVERAGE(Table1[[#This Row],[Math_Marks]:[Social_Marks]])</f>
        <v>57.4</v>
      </c>
      <c r="P306" t="str">
        <f>IF(Table1[[#This Row],[Total_Marks]]&gt;=400,"Top Performer","Need Improvement")</f>
        <v>Need Improvement</v>
      </c>
      <c r="Q306" t="str">
        <f>IF(Table1[[#This Row],[Total_Marks]]&gt;=400,"Excellent",IF(Table1[[#This Row],[Total_Marks]]&gt;=300,"Good",IF(Table1[[#This Row],[Total_Marks]]&gt;=200,"Average","Below Average")))</f>
        <v>Average</v>
      </c>
    </row>
    <row r="307" spans="1:17" x14ac:dyDescent="0.3">
      <c r="A307" t="s">
        <v>318</v>
      </c>
      <c r="B307" t="s">
        <v>778</v>
      </c>
      <c r="C307" t="s">
        <v>828</v>
      </c>
      <c r="D307">
        <v>19</v>
      </c>
      <c r="E307" t="s">
        <v>831</v>
      </c>
      <c r="F307" t="s">
        <v>835</v>
      </c>
      <c r="G307">
        <v>68</v>
      </c>
      <c r="H307">
        <v>3.5</v>
      </c>
      <c r="I307">
        <v>63</v>
      </c>
      <c r="J307">
        <v>66</v>
      </c>
      <c r="K307">
        <v>54</v>
      </c>
      <c r="L307">
        <v>62</v>
      </c>
      <c r="M307">
        <v>65</v>
      </c>
      <c r="N307">
        <f>SUM(Table1[[#This Row],[Math_Marks]:[Social_Marks]])</f>
        <v>310</v>
      </c>
      <c r="O307">
        <f>AVERAGE(Table1[[#This Row],[Math_Marks]:[Social_Marks]])</f>
        <v>62</v>
      </c>
      <c r="P307" t="str">
        <f>IF(Table1[[#This Row],[Total_Marks]]&gt;=400,"Top Performer","Need Improvement")</f>
        <v>Need Improvement</v>
      </c>
      <c r="Q307" t="str">
        <f>IF(Table1[[#This Row],[Total_Marks]]&gt;=400,"Excellent",IF(Table1[[#This Row],[Total_Marks]]&gt;=300,"Good",IF(Table1[[#This Row],[Total_Marks]]&gt;=200,"Average","Below Average")))</f>
        <v>Good</v>
      </c>
    </row>
    <row r="308" spans="1:17" x14ac:dyDescent="0.3">
      <c r="A308" t="s">
        <v>319</v>
      </c>
      <c r="B308" t="s">
        <v>780</v>
      </c>
      <c r="C308" t="s">
        <v>827</v>
      </c>
      <c r="D308">
        <v>18</v>
      </c>
      <c r="E308" t="s">
        <v>830</v>
      </c>
      <c r="F308" t="s">
        <v>841</v>
      </c>
      <c r="G308">
        <v>57</v>
      </c>
      <c r="H308">
        <v>2.9</v>
      </c>
      <c r="I308">
        <v>43</v>
      </c>
      <c r="J308">
        <v>53</v>
      </c>
      <c r="K308">
        <v>51</v>
      </c>
      <c r="L308">
        <v>33</v>
      </c>
      <c r="M308">
        <v>53</v>
      </c>
      <c r="N308">
        <f>SUM(Table1[[#This Row],[Math_Marks]:[Social_Marks]])</f>
        <v>233</v>
      </c>
      <c r="O308">
        <f>AVERAGE(Table1[[#This Row],[Math_Marks]:[Social_Marks]])</f>
        <v>46.6</v>
      </c>
      <c r="P308" t="str">
        <f>IF(Table1[[#This Row],[Total_Marks]]&gt;=400,"Top Performer","Need Improvement")</f>
        <v>Need Improvement</v>
      </c>
      <c r="Q308" t="str">
        <f>IF(Table1[[#This Row],[Total_Marks]]&gt;=400,"Excellent",IF(Table1[[#This Row],[Total_Marks]]&gt;=300,"Good",IF(Table1[[#This Row],[Total_Marks]]&gt;=200,"Average","Below Average")))</f>
        <v>Average</v>
      </c>
    </row>
    <row r="309" spans="1:17" x14ac:dyDescent="0.3">
      <c r="A309" t="s">
        <v>320</v>
      </c>
      <c r="B309" t="s">
        <v>700</v>
      </c>
      <c r="C309" t="s">
        <v>828</v>
      </c>
      <c r="D309">
        <v>22</v>
      </c>
      <c r="E309" t="s">
        <v>833</v>
      </c>
      <c r="F309" t="s">
        <v>842</v>
      </c>
      <c r="G309">
        <v>82</v>
      </c>
      <c r="H309">
        <v>3.4</v>
      </c>
      <c r="I309">
        <v>66</v>
      </c>
      <c r="J309">
        <v>63</v>
      </c>
      <c r="K309">
        <v>52</v>
      </c>
      <c r="L309">
        <v>53</v>
      </c>
      <c r="M309">
        <v>60</v>
      </c>
      <c r="N309">
        <f>SUM(Table1[[#This Row],[Math_Marks]:[Social_Marks]])</f>
        <v>294</v>
      </c>
      <c r="O309">
        <f>AVERAGE(Table1[[#This Row],[Math_Marks]:[Social_Marks]])</f>
        <v>58.8</v>
      </c>
      <c r="P309" t="str">
        <f>IF(Table1[[#This Row],[Total_Marks]]&gt;=400,"Top Performer","Need Improvement")</f>
        <v>Need Improvement</v>
      </c>
      <c r="Q309" t="str">
        <f>IF(Table1[[#This Row],[Total_Marks]]&gt;=400,"Excellent",IF(Table1[[#This Row],[Total_Marks]]&gt;=300,"Good",IF(Table1[[#This Row],[Total_Marks]]&gt;=200,"Average","Below Average")))</f>
        <v>Average</v>
      </c>
    </row>
    <row r="310" spans="1:17" x14ac:dyDescent="0.3">
      <c r="A310" t="s">
        <v>321</v>
      </c>
      <c r="B310" t="s">
        <v>750</v>
      </c>
      <c r="C310" t="s">
        <v>828</v>
      </c>
      <c r="D310">
        <v>18</v>
      </c>
      <c r="E310" t="s">
        <v>833</v>
      </c>
      <c r="F310" t="s">
        <v>840</v>
      </c>
      <c r="G310">
        <v>79</v>
      </c>
      <c r="H310">
        <v>2.4</v>
      </c>
      <c r="I310">
        <v>58</v>
      </c>
      <c r="J310">
        <v>59</v>
      </c>
      <c r="K310">
        <v>71</v>
      </c>
      <c r="L310">
        <v>51</v>
      </c>
      <c r="M310">
        <v>55</v>
      </c>
      <c r="N310">
        <f>SUM(Table1[[#This Row],[Math_Marks]:[Social_Marks]])</f>
        <v>294</v>
      </c>
      <c r="O310">
        <f>AVERAGE(Table1[[#This Row],[Math_Marks]:[Social_Marks]])</f>
        <v>58.8</v>
      </c>
      <c r="P310" t="str">
        <f>IF(Table1[[#This Row],[Total_Marks]]&gt;=400,"Top Performer","Need Improvement")</f>
        <v>Need Improvement</v>
      </c>
      <c r="Q310" t="str">
        <f>IF(Table1[[#This Row],[Total_Marks]]&gt;=400,"Excellent",IF(Table1[[#This Row],[Total_Marks]]&gt;=300,"Good",IF(Table1[[#This Row],[Total_Marks]]&gt;=200,"Average","Below Average")))</f>
        <v>Average</v>
      </c>
    </row>
    <row r="311" spans="1:17" x14ac:dyDescent="0.3">
      <c r="A311" t="s">
        <v>322</v>
      </c>
      <c r="B311" t="s">
        <v>768</v>
      </c>
      <c r="C311" t="s">
        <v>827</v>
      </c>
      <c r="D311">
        <v>18</v>
      </c>
      <c r="E311" t="s">
        <v>834</v>
      </c>
      <c r="F311" t="s">
        <v>835</v>
      </c>
      <c r="G311">
        <v>68</v>
      </c>
      <c r="H311">
        <v>3</v>
      </c>
      <c r="I311">
        <v>37</v>
      </c>
      <c r="J311">
        <v>44</v>
      </c>
      <c r="K311">
        <v>42</v>
      </c>
      <c r="L311">
        <v>55</v>
      </c>
      <c r="M311">
        <v>55</v>
      </c>
      <c r="N311">
        <f>SUM(Table1[[#This Row],[Math_Marks]:[Social_Marks]])</f>
        <v>233</v>
      </c>
      <c r="O311">
        <f>AVERAGE(Table1[[#This Row],[Math_Marks]:[Social_Marks]])</f>
        <v>46.6</v>
      </c>
      <c r="P311" t="str">
        <f>IF(Table1[[#This Row],[Total_Marks]]&gt;=400,"Top Performer","Need Improvement")</f>
        <v>Need Improvement</v>
      </c>
      <c r="Q311" t="str">
        <f>IF(Table1[[#This Row],[Total_Marks]]&gt;=400,"Excellent",IF(Table1[[#This Row],[Total_Marks]]&gt;=300,"Good",IF(Table1[[#This Row],[Total_Marks]]&gt;=200,"Average","Below Average")))</f>
        <v>Average</v>
      </c>
    </row>
    <row r="312" spans="1:17" x14ac:dyDescent="0.3">
      <c r="A312" t="s">
        <v>323</v>
      </c>
      <c r="B312" t="s">
        <v>717</v>
      </c>
      <c r="C312" t="s">
        <v>827</v>
      </c>
      <c r="D312">
        <v>22</v>
      </c>
      <c r="E312" t="s">
        <v>829</v>
      </c>
      <c r="F312" t="s">
        <v>835</v>
      </c>
      <c r="G312">
        <v>77</v>
      </c>
      <c r="H312">
        <v>4.4000000000000004</v>
      </c>
      <c r="I312">
        <v>66</v>
      </c>
      <c r="J312">
        <v>80</v>
      </c>
      <c r="K312">
        <v>59</v>
      </c>
      <c r="L312">
        <v>61</v>
      </c>
      <c r="M312">
        <v>77</v>
      </c>
      <c r="N312">
        <f>SUM(Table1[[#This Row],[Math_Marks]:[Social_Marks]])</f>
        <v>343</v>
      </c>
      <c r="O312">
        <f>AVERAGE(Table1[[#This Row],[Math_Marks]:[Social_Marks]])</f>
        <v>68.599999999999994</v>
      </c>
      <c r="P312" t="str">
        <f>IF(Table1[[#This Row],[Total_Marks]]&gt;=400,"Top Performer","Need Improvement")</f>
        <v>Need Improvement</v>
      </c>
      <c r="Q312" t="str">
        <f>IF(Table1[[#This Row],[Total_Marks]]&gt;=400,"Excellent",IF(Table1[[#This Row],[Total_Marks]]&gt;=300,"Good",IF(Table1[[#This Row],[Total_Marks]]&gt;=200,"Average","Below Average")))</f>
        <v>Good</v>
      </c>
    </row>
    <row r="313" spans="1:17" x14ac:dyDescent="0.3">
      <c r="A313" t="s">
        <v>324</v>
      </c>
      <c r="B313" t="s">
        <v>781</v>
      </c>
      <c r="C313" t="s">
        <v>827</v>
      </c>
      <c r="D313">
        <v>19</v>
      </c>
      <c r="E313" t="s">
        <v>834</v>
      </c>
      <c r="F313" t="s">
        <v>837</v>
      </c>
      <c r="G313">
        <v>86</v>
      </c>
      <c r="H313">
        <v>3.7</v>
      </c>
      <c r="I313">
        <v>33</v>
      </c>
      <c r="J313">
        <v>50</v>
      </c>
      <c r="K313">
        <v>46</v>
      </c>
      <c r="L313">
        <v>41</v>
      </c>
      <c r="M313">
        <v>50</v>
      </c>
      <c r="N313">
        <f>SUM(Table1[[#This Row],[Math_Marks]:[Social_Marks]])</f>
        <v>220</v>
      </c>
      <c r="O313">
        <f>AVERAGE(Table1[[#This Row],[Math_Marks]:[Social_Marks]])</f>
        <v>44</v>
      </c>
      <c r="P313" t="str">
        <f>IF(Table1[[#This Row],[Total_Marks]]&gt;=400,"Top Performer","Need Improvement")</f>
        <v>Need Improvement</v>
      </c>
      <c r="Q313" t="str">
        <f>IF(Table1[[#This Row],[Total_Marks]]&gt;=400,"Excellent",IF(Table1[[#This Row],[Total_Marks]]&gt;=300,"Good",IF(Table1[[#This Row],[Total_Marks]]&gt;=200,"Average","Below Average")))</f>
        <v>Average</v>
      </c>
    </row>
    <row r="314" spans="1:17" x14ac:dyDescent="0.3">
      <c r="A314" t="s">
        <v>325</v>
      </c>
      <c r="B314" t="s">
        <v>766</v>
      </c>
      <c r="C314" t="s">
        <v>827</v>
      </c>
      <c r="D314">
        <v>22</v>
      </c>
      <c r="E314" t="s">
        <v>831</v>
      </c>
      <c r="F314" t="s">
        <v>839</v>
      </c>
      <c r="G314">
        <v>93</v>
      </c>
      <c r="H314">
        <v>3.8</v>
      </c>
      <c r="I314">
        <v>74</v>
      </c>
      <c r="J314">
        <v>58</v>
      </c>
      <c r="K314">
        <v>88</v>
      </c>
      <c r="L314">
        <v>69</v>
      </c>
      <c r="M314">
        <v>69</v>
      </c>
      <c r="N314">
        <f>SUM(Table1[[#This Row],[Math_Marks]:[Social_Marks]])</f>
        <v>358</v>
      </c>
      <c r="O314">
        <f>AVERAGE(Table1[[#This Row],[Math_Marks]:[Social_Marks]])</f>
        <v>71.599999999999994</v>
      </c>
      <c r="P314" t="str">
        <f>IF(Table1[[#This Row],[Total_Marks]]&gt;=400,"Top Performer","Need Improvement")</f>
        <v>Need Improvement</v>
      </c>
      <c r="Q314" t="str">
        <f>IF(Table1[[#This Row],[Total_Marks]]&gt;=400,"Excellent",IF(Table1[[#This Row],[Total_Marks]]&gt;=300,"Good",IF(Table1[[#This Row],[Total_Marks]]&gt;=200,"Average","Below Average")))</f>
        <v>Good</v>
      </c>
    </row>
    <row r="315" spans="1:17" x14ac:dyDescent="0.3">
      <c r="A315" t="s">
        <v>326</v>
      </c>
      <c r="B315" t="s">
        <v>653</v>
      </c>
      <c r="C315" t="s">
        <v>827</v>
      </c>
      <c r="D315">
        <v>21</v>
      </c>
      <c r="E315" t="s">
        <v>831</v>
      </c>
      <c r="F315" t="s">
        <v>837</v>
      </c>
      <c r="G315">
        <v>67</v>
      </c>
      <c r="H315">
        <v>5.9</v>
      </c>
      <c r="I315">
        <v>68</v>
      </c>
      <c r="J315">
        <v>57</v>
      </c>
      <c r="K315">
        <v>71</v>
      </c>
      <c r="L315">
        <v>62</v>
      </c>
      <c r="M315">
        <v>68</v>
      </c>
      <c r="N315">
        <f>SUM(Table1[[#This Row],[Math_Marks]:[Social_Marks]])</f>
        <v>326</v>
      </c>
      <c r="O315">
        <f>AVERAGE(Table1[[#This Row],[Math_Marks]:[Social_Marks]])</f>
        <v>65.2</v>
      </c>
      <c r="P315" t="str">
        <f>IF(Table1[[#This Row],[Total_Marks]]&gt;=400,"Top Performer","Need Improvement")</f>
        <v>Need Improvement</v>
      </c>
      <c r="Q315" t="str">
        <f>IF(Table1[[#This Row],[Total_Marks]]&gt;=400,"Excellent",IF(Table1[[#This Row],[Total_Marks]]&gt;=300,"Good",IF(Table1[[#This Row],[Total_Marks]]&gt;=200,"Average","Below Average")))</f>
        <v>Good</v>
      </c>
    </row>
    <row r="316" spans="1:17" x14ac:dyDescent="0.3">
      <c r="A316" t="s">
        <v>327</v>
      </c>
      <c r="B316" t="s">
        <v>745</v>
      </c>
      <c r="C316" t="s">
        <v>828</v>
      </c>
      <c r="D316">
        <v>22</v>
      </c>
      <c r="E316" t="s">
        <v>831</v>
      </c>
      <c r="F316" t="s">
        <v>838</v>
      </c>
      <c r="G316">
        <v>82</v>
      </c>
      <c r="H316">
        <v>3.9</v>
      </c>
      <c r="I316">
        <v>71</v>
      </c>
      <c r="J316">
        <v>59</v>
      </c>
      <c r="K316">
        <v>59</v>
      </c>
      <c r="L316">
        <v>70</v>
      </c>
      <c r="M316">
        <v>58</v>
      </c>
      <c r="N316">
        <f>SUM(Table1[[#This Row],[Math_Marks]:[Social_Marks]])</f>
        <v>317</v>
      </c>
      <c r="O316">
        <f>AVERAGE(Table1[[#This Row],[Math_Marks]:[Social_Marks]])</f>
        <v>63.4</v>
      </c>
      <c r="P316" t="str">
        <f>IF(Table1[[#This Row],[Total_Marks]]&gt;=400,"Top Performer","Need Improvement")</f>
        <v>Need Improvement</v>
      </c>
      <c r="Q316" t="str">
        <f>IF(Table1[[#This Row],[Total_Marks]]&gt;=400,"Excellent",IF(Table1[[#This Row],[Total_Marks]]&gt;=300,"Good",IF(Table1[[#This Row],[Total_Marks]]&gt;=200,"Average","Below Average")))</f>
        <v>Good</v>
      </c>
    </row>
    <row r="317" spans="1:17" x14ac:dyDescent="0.3">
      <c r="A317" t="s">
        <v>328</v>
      </c>
      <c r="B317" t="s">
        <v>750</v>
      </c>
      <c r="C317" t="s">
        <v>828</v>
      </c>
      <c r="D317">
        <v>18</v>
      </c>
      <c r="E317" t="s">
        <v>829</v>
      </c>
      <c r="F317" t="s">
        <v>836</v>
      </c>
      <c r="G317">
        <v>99</v>
      </c>
      <c r="H317">
        <v>4.9000000000000004</v>
      </c>
      <c r="I317">
        <v>76</v>
      </c>
      <c r="J317">
        <v>85</v>
      </c>
      <c r="K317">
        <v>75</v>
      </c>
      <c r="L317">
        <v>81</v>
      </c>
      <c r="M317">
        <v>89</v>
      </c>
      <c r="N317">
        <f>SUM(Table1[[#This Row],[Math_Marks]:[Social_Marks]])</f>
        <v>406</v>
      </c>
      <c r="O317">
        <f>AVERAGE(Table1[[#This Row],[Math_Marks]:[Social_Marks]])</f>
        <v>81.2</v>
      </c>
      <c r="P317" t="str">
        <f>IF(Table1[[#This Row],[Total_Marks]]&gt;=400,"Top Performer","Need Improvement")</f>
        <v>Top Performer</v>
      </c>
      <c r="Q317" t="str">
        <f>IF(Table1[[#This Row],[Total_Marks]]&gt;=400,"Excellent",IF(Table1[[#This Row],[Total_Marks]]&gt;=300,"Good",IF(Table1[[#This Row],[Total_Marks]]&gt;=200,"Average","Below Average")))</f>
        <v>Excellent</v>
      </c>
    </row>
    <row r="318" spans="1:17" x14ac:dyDescent="0.3">
      <c r="A318" t="s">
        <v>329</v>
      </c>
      <c r="B318" t="s">
        <v>782</v>
      </c>
      <c r="C318" t="s">
        <v>828</v>
      </c>
      <c r="D318">
        <v>18</v>
      </c>
      <c r="E318" t="s">
        <v>832</v>
      </c>
      <c r="F318" t="s">
        <v>842</v>
      </c>
      <c r="G318">
        <v>69</v>
      </c>
      <c r="H318">
        <v>4.5</v>
      </c>
      <c r="I318">
        <v>90</v>
      </c>
      <c r="J318">
        <v>63</v>
      </c>
      <c r="K318">
        <v>90</v>
      </c>
      <c r="L318">
        <v>86</v>
      </c>
      <c r="M318">
        <v>66</v>
      </c>
      <c r="N318">
        <f>SUM(Table1[[#This Row],[Math_Marks]:[Social_Marks]])</f>
        <v>395</v>
      </c>
      <c r="O318">
        <f>AVERAGE(Table1[[#This Row],[Math_Marks]:[Social_Marks]])</f>
        <v>79</v>
      </c>
      <c r="P318" t="str">
        <f>IF(Table1[[#This Row],[Total_Marks]]&gt;=400,"Top Performer","Need Improvement")</f>
        <v>Need Improvement</v>
      </c>
      <c r="Q318" t="str">
        <f>IF(Table1[[#This Row],[Total_Marks]]&gt;=400,"Excellent",IF(Table1[[#This Row],[Total_Marks]]&gt;=300,"Good",IF(Table1[[#This Row],[Total_Marks]]&gt;=200,"Average","Below Average")))</f>
        <v>Good</v>
      </c>
    </row>
    <row r="319" spans="1:17" x14ac:dyDescent="0.3">
      <c r="A319" t="s">
        <v>330</v>
      </c>
      <c r="B319" t="s">
        <v>663</v>
      </c>
      <c r="C319" t="s">
        <v>827</v>
      </c>
      <c r="D319">
        <v>18</v>
      </c>
      <c r="E319" t="s">
        <v>832</v>
      </c>
      <c r="F319" t="s">
        <v>835</v>
      </c>
      <c r="G319">
        <v>70</v>
      </c>
      <c r="H319">
        <v>4.7</v>
      </c>
      <c r="I319">
        <v>48</v>
      </c>
      <c r="J319">
        <v>59</v>
      </c>
      <c r="K319">
        <v>50</v>
      </c>
      <c r="L319">
        <v>46</v>
      </c>
      <c r="M319">
        <v>57</v>
      </c>
      <c r="N319">
        <f>SUM(Table1[[#This Row],[Math_Marks]:[Social_Marks]])</f>
        <v>260</v>
      </c>
      <c r="O319">
        <f>AVERAGE(Table1[[#This Row],[Math_Marks]:[Social_Marks]])</f>
        <v>52</v>
      </c>
      <c r="P319" t="str">
        <f>IF(Table1[[#This Row],[Total_Marks]]&gt;=400,"Top Performer","Need Improvement")</f>
        <v>Need Improvement</v>
      </c>
      <c r="Q319" t="str">
        <f>IF(Table1[[#This Row],[Total_Marks]]&gt;=400,"Excellent",IF(Table1[[#This Row],[Total_Marks]]&gt;=300,"Good",IF(Table1[[#This Row],[Total_Marks]]&gt;=200,"Average","Below Average")))</f>
        <v>Average</v>
      </c>
    </row>
    <row r="320" spans="1:17" x14ac:dyDescent="0.3">
      <c r="A320" t="s">
        <v>331</v>
      </c>
      <c r="B320" t="s">
        <v>709</v>
      </c>
      <c r="C320" t="s">
        <v>827</v>
      </c>
      <c r="D320">
        <v>21</v>
      </c>
      <c r="E320" t="s">
        <v>834</v>
      </c>
      <c r="F320" t="s">
        <v>835</v>
      </c>
      <c r="G320">
        <v>91</v>
      </c>
      <c r="H320">
        <v>4.9000000000000004</v>
      </c>
      <c r="I320">
        <v>73</v>
      </c>
      <c r="J320">
        <v>71</v>
      </c>
      <c r="K320">
        <v>63</v>
      </c>
      <c r="L320">
        <v>65</v>
      </c>
      <c r="M320">
        <v>70</v>
      </c>
      <c r="N320">
        <f>SUM(Table1[[#This Row],[Math_Marks]:[Social_Marks]])</f>
        <v>342</v>
      </c>
      <c r="O320">
        <f>AVERAGE(Table1[[#This Row],[Math_Marks]:[Social_Marks]])</f>
        <v>68.400000000000006</v>
      </c>
      <c r="P320" t="str">
        <f>IF(Table1[[#This Row],[Total_Marks]]&gt;=400,"Top Performer","Need Improvement")</f>
        <v>Need Improvement</v>
      </c>
      <c r="Q320" t="str">
        <f>IF(Table1[[#This Row],[Total_Marks]]&gt;=400,"Excellent",IF(Table1[[#This Row],[Total_Marks]]&gt;=300,"Good",IF(Table1[[#This Row],[Total_Marks]]&gt;=200,"Average","Below Average")))</f>
        <v>Good</v>
      </c>
    </row>
    <row r="321" spans="1:17" x14ac:dyDescent="0.3">
      <c r="A321" t="s">
        <v>332</v>
      </c>
      <c r="B321" t="s">
        <v>690</v>
      </c>
      <c r="C321" t="s">
        <v>828</v>
      </c>
      <c r="D321">
        <v>20</v>
      </c>
      <c r="E321" t="s">
        <v>834</v>
      </c>
      <c r="F321" t="s">
        <v>842</v>
      </c>
      <c r="G321">
        <v>91</v>
      </c>
      <c r="H321">
        <v>5.4</v>
      </c>
      <c r="I321">
        <v>76</v>
      </c>
      <c r="J321">
        <v>69</v>
      </c>
      <c r="K321">
        <v>82</v>
      </c>
      <c r="L321">
        <v>76</v>
      </c>
      <c r="M321">
        <v>61</v>
      </c>
      <c r="N321">
        <f>SUM(Table1[[#This Row],[Math_Marks]:[Social_Marks]])</f>
        <v>364</v>
      </c>
      <c r="O321">
        <f>AVERAGE(Table1[[#This Row],[Math_Marks]:[Social_Marks]])</f>
        <v>72.8</v>
      </c>
      <c r="P321" t="str">
        <f>IF(Table1[[#This Row],[Total_Marks]]&gt;=400,"Top Performer","Need Improvement")</f>
        <v>Need Improvement</v>
      </c>
      <c r="Q321" t="str">
        <f>IF(Table1[[#This Row],[Total_Marks]]&gt;=400,"Excellent",IF(Table1[[#This Row],[Total_Marks]]&gt;=300,"Good",IF(Table1[[#This Row],[Total_Marks]]&gt;=200,"Average","Below Average")))</f>
        <v>Good</v>
      </c>
    </row>
    <row r="322" spans="1:17" x14ac:dyDescent="0.3">
      <c r="A322" t="s">
        <v>333</v>
      </c>
      <c r="B322" t="s">
        <v>690</v>
      </c>
      <c r="C322" t="s">
        <v>828</v>
      </c>
      <c r="D322">
        <v>21</v>
      </c>
      <c r="E322" t="s">
        <v>829</v>
      </c>
      <c r="F322" t="s">
        <v>835</v>
      </c>
      <c r="G322">
        <v>86</v>
      </c>
      <c r="H322">
        <v>4.5999999999999996</v>
      </c>
      <c r="I322">
        <v>65</v>
      </c>
      <c r="J322">
        <v>50</v>
      </c>
      <c r="K322">
        <v>56</v>
      </c>
      <c r="L322">
        <v>70</v>
      </c>
      <c r="M322">
        <v>64</v>
      </c>
      <c r="N322">
        <f>SUM(Table1[[#This Row],[Math_Marks]:[Social_Marks]])</f>
        <v>305</v>
      </c>
      <c r="O322">
        <f>AVERAGE(Table1[[#This Row],[Math_Marks]:[Social_Marks]])</f>
        <v>61</v>
      </c>
      <c r="P322" t="str">
        <f>IF(Table1[[#This Row],[Total_Marks]]&gt;=400,"Top Performer","Need Improvement")</f>
        <v>Need Improvement</v>
      </c>
      <c r="Q322" t="str">
        <f>IF(Table1[[#This Row],[Total_Marks]]&gt;=400,"Excellent",IF(Table1[[#This Row],[Total_Marks]]&gt;=300,"Good",IF(Table1[[#This Row],[Total_Marks]]&gt;=200,"Average","Below Average")))</f>
        <v>Good</v>
      </c>
    </row>
    <row r="323" spans="1:17" x14ac:dyDescent="0.3">
      <c r="A323" t="s">
        <v>334</v>
      </c>
      <c r="B323" t="s">
        <v>733</v>
      </c>
      <c r="C323" t="s">
        <v>827</v>
      </c>
      <c r="D323">
        <v>19</v>
      </c>
      <c r="E323" t="s">
        <v>832</v>
      </c>
      <c r="F323" t="s">
        <v>836</v>
      </c>
      <c r="G323">
        <v>82</v>
      </c>
      <c r="H323">
        <v>4.8</v>
      </c>
      <c r="I323">
        <v>63</v>
      </c>
      <c r="J323">
        <v>61</v>
      </c>
      <c r="K323">
        <v>50</v>
      </c>
      <c r="L323">
        <v>56</v>
      </c>
      <c r="M323">
        <v>76</v>
      </c>
      <c r="N323">
        <f>SUM(Table1[[#This Row],[Math_Marks]:[Social_Marks]])</f>
        <v>306</v>
      </c>
      <c r="O323">
        <f>AVERAGE(Table1[[#This Row],[Math_Marks]:[Social_Marks]])</f>
        <v>61.2</v>
      </c>
      <c r="P323" t="str">
        <f>IF(Table1[[#This Row],[Total_Marks]]&gt;=400,"Top Performer","Need Improvement")</f>
        <v>Need Improvement</v>
      </c>
      <c r="Q323" t="str">
        <f>IF(Table1[[#This Row],[Total_Marks]]&gt;=400,"Excellent",IF(Table1[[#This Row],[Total_Marks]]&gt;=300,"Good",IF(Table1[[#This Row],[Total_Marks]]&gt;=200,"Average","Below Average")))</f>
        <v>Good</v>
      </c>
    </row>
    <row r="324" spans="1:17" x14ac:dyDescent="0.3">
      <c r="A324" t="s">
        <v>335</v>
      </c>
      <c r="B324" t="s">
        <v>783</v>
      </c>
      <c r="C324" t="s">
        <v>827</v>
      </c>
      <c r="D324">
        <v>20</v>
      </c>
      <c r="E324" t="s">
        <v>832</v>
      </c>
      <c r="F324" t="s">
        <v>841</v>
      </c>
      <c r="G324">
        <v>80</v>
      </c>
      <c r="H324">
        <v>6.1</v>
      </c>
      <c r="I324">
        <v>82</v>
      </c>
      <c r="J324">
        <v>75</v>
      </c>
      <c r="K324">
        <v>75</v>
      </c>
      <c r="L324">
        <v>61</v>
      </c>
      <c r="M324">
        <v>79</v>
      </c>
      <c r="N324">
        <f>SUM(Table1[[#This Row],[Math_Marks]:[Social_Marks]])</f>
        <v>372</v>
      </c>
      <c r="O324">
        <f>AVERAGE(Table1[[#This Row],[Math_Marks]:[Social_Marks]])</f>
        <v>74.400000000000006</v>
      </c>
      <c r="P324" t="str">
        <f>IF(Table1[[#This Row],[Total_Marks]]&gt;=400,"Top Performer","Need Improvement")</f>
        <v>Need Improvement</v>
      </c>
      <c r="Q324" t="str">
        <f>IF(Table1[[#This Row],[Total_Marks]]&gt;=400,"Excellent",IF(Table1[[#This Row],[Total_Marks]]&gt;=300,"Good",IF(Table1[[#This Row],[Total_Marks]]&gt;=200,"Average","Below Average")))</f>
        <v>Good</v>
      </c>
    </row>
    <row r="325" spans="1:17" x14ac:dyDescent="0.3">
      <c r="A325" t="s">
        <v>336</v>
      </c>
      <c r="B325" t="s">
        <v>768</v>
      </c>
      <c r="C325" t="s">
        <v>827</v>
      </c>
      <c r="D325">
        <v>18</v>
      </c>
      <c r="E325" t="s">
        <v>829</v>
      </c>
      <c r="F325" t="s">
        <v>835</v>
      </c>
      <c r="G325">
        <v>83</v>
      </c>
      <c r="H325">
        <v>4.3</v>
      </c>
      <c r="I325">
        <v>69</v>
      </c>
      <c r="J325">
        <v>63</v>
      </c>
      <c r="K325">
        <v>60</v>
      </c>
      <c r="L325">
        <v>78</v>
      </c>
      <c r="M325">
        <v>74</v>
      </c>
      <c r="N325">
        <f>SUM(Table1[[#This Row],[Math_Marks]:[Social_Marks]])</f>
        <v>344</v>
      </c>
      <c r="O325">
        <f>AVERAGE(Table1[[#This Row],[Math_Marks]:[Social_Marks]])</f>
        <v>68.8</v>
      </c>
      <c r="P325" t="str">
        <f>IF(Table1[[#This Row],[Total_Marks]]&gt;=400,"Top Performer","Need Improvement")</f>
        <v>Need Improvement</v>
      </c>
      <c r="Q325" t="str">
        <f>IF(Table1[[#This Row],[Total_Marks]]&gt;=400,"Excellent",IF(Table1[[#This Row],[Total_Marks]]&gt;=300,"Good",IF(Table1[[#This Row],[Total_Marks]]&gt;=200,"Average","Below Average")))</f>
        <v>Good</v>
      </c>
    </row>
    <row r="326" spans="1:17" x14ac:dyDescent="0.3">
      <c r="A326" t="s">
        <v>337</v>
      </c>
      <c r="B326" t="s">
        <v>772</v>
      </c>
      <c r="C326" t="s">
        <v>828</v>
      </c>
      <c r="D326">
        <v>20</v>
      </c>
      <c r="E326" t="s">
        <v>829</v>
      </c>
      <c r="F326" t="s">
        <v>841</v>
      </c>
      <c r="G326">
        <v>71</v>
      </c>
      <c r="H326">
        <v>5.4</v>
      </c>
      <c r="I326">
        <v>64</v>
      </c>
      <c r="J326">
        <v>54</v>
      </c>
      <c r="K326">
        <v>55</v>
      </c>
      <c r="L326">
        <v>60</v>
      </c>
      <c r="M326">
        <v>61</v>
      </c>
      <c r="N326">
        <f>SUM(Table1[[#This Row],[Math_Marks]:[Social_Marks]])</f>
        <v>294</v>
      </c>
      <c r="O326">
        <f>AVERAGE(Table1[[#This Row],[Math_Marks]:[Social_Marks]])</f>
        <v>58.8</v>
      </c>
      <c r="P326" t="str">
        <f>IF(Table1[[#This Row],[Total_Marks]]&gt;=400,"Top Performer","Need Improvement")</f>
        <v>Need Improvement</v>
      </c>
      <c r="Q326" t="str">
        <f>IF(Table1[[#This Row],[Total_Marks]]&gt;=400,"Excellent",IF(Table1[[#This Row],[Total_Marks]]&gt;=300,"Good",IF(Table1[[#This Row],[Total_Marks]]&gt;=200,"Average","Below Average")))</f>
        <v>Average</v>
      </c>
    </row>
    <row r="327" spans="1:17" x14ac:dyDescent="0.3">
      <c r="A327" t="s">
        <v>338</v>
      </c>
      <c r="B327" t="s">
        <v>784</v>
      </c>
      <c r="C327" t="s">
        <v>828</v>
      </c>
      <c r="D327">
        <v>21</v>
      </c>
      <c r="E327" t="s">
        <v>833</v>
      </c>
      <c r="F327" t="s">
        <v>835</v>
      </c>
      <c r="G327">
        <v>70</v>
      </c>
      <c r="H327">
        <v>3.5</v>
      </c>
      <c r="I327">
        <v>83</v>
      </c>
      <c r="J327">
        <v>76</v>
      </c>
      <c r="K327">
        <v>61</v>
      </c>
      <c r="L327">
        <v>74</v>
      </c>
      <c r="M327">
        <v>77</v>
      </c>
      <c r="N327">
        <f>SUM(Table1[[#This Row],[Math_Marks]:[Social_Marks]])</f>
        <v>371</v>
      </c>
      <c r="O327">
        <f>AVERAGE(Table1[[#This Row],[Math_Marks]:[Social_Marks]])</f>
        <v>74.2</v>
      </c>
      <c r="P327" t="str">
        <f>IF(Table1[[#This Row],[Total_Marks]]&gt;=400,"Top Performer","Need Improvement")</f>
        <v>Need Improvement</v>
      </c>
      <c r="Q327" t="str">
        <f>IF(Table1[[#This Row],[Total_Marks]]&gt;=400,"Excellent",IF(Table1[[#This Row],[Total_Marks]]&gt;=300,"Good",IF(Table1[[#This Row],[Total_Marks]]&gt;=200,"Average","Below Average")))</f>
        <v>Good</v>
      </c>
    </row>
    <row r="328" spans="1:17" x14ac:dyDescent="0.3">
      <c r="A328" t="s">
        <v>339</v>
      </c>
      <c r="B328" t="s">
        <v>785</v>
      </c>
      <c r="C328" t="s">
        <v>828</v>
      </c>
      <c r="D328">
        <v>20</v>
      </c>
      <c r="E328" t="s">
        <v>833</v>
      </c>
      <c r="F328" t="s">
        <v>836</v>
      </c>
      <c r="G328">
        <v>81</v>
      </c>
      <c r="H328">
        <v>2.9</v>
      </c>
      <c r="I328">
        <v>50</v>
      </c>
      <c r="J328">
        <v>49</v>
      </c>
      <c r="K328">
        <v>52</v>
      </c>
      <c r="L328">
        <v>36</v>
      </c>
      <c r="M328">
        <v>52</v>
      </c>
      <c r="N328">
        <f>SUM(Table1[[#This Row],[Math_Marks]:[Social_Marks]])</f>
        <v>239</v>
      </c>
      <c r="O328">
        <f>AVERAGE(Table1[[#This Row],[Math_Marks]:[Social_Marks]])</f>
        <v>47.8</v>
      </c>
      <c r="P328" t="str">
        <f>IF(Table1[[#This Row],[Total_Marks]]&gt;=400,"Top Performer","Need Improvement")</f>
        <v>Need Improvement</v>
      </c>
      <c r="Q328" t="str">
        <f>IF(Table1[[#This Row],[Total_Marks]]&gt;=400,"Excellent",IF(Table1[[#This Row],[Total_Marks]]&gt;=300,"Good",IF(Table1[[#This Row],[Total_Marks]]&gt;=200,"Average","Below Average")))</f>
        <v>Average</v>
      </c>
    </row>
    <row r="329" spans="1:17" x14ac:dyDescent="0.3">
      <c r="A329" t="s">
        <v>340</v>
      </c>
      <c r="B329" t="s">
        <v>753</v>
      </c>
      <c r="C329" t="s">
        <v>827</v>
      </c>
      <c r="D329">
        <v>22</v>
      </c>
      <c r="E329" t="s">
        <v>833</v>
      </c>
      <c r="F329" t="s">
        <v>839</v>
      </c>
      <c r="G329">
        <v>84</v>
      </c>
      <c r="H329">
        <v>6.8</v>
      </c>
      <c r="I329">
        <v>71</v>
      </c>
      <c r="J329">
        <v>63</v>
      </c>
      <c r="K329">
        <v>65</v>
      </c>
      <c r="L329">
        <v>69</v>
      </c>
      <c r="M329">
        <v>80</v>
      </c>
      <c r="N329">
        <f>SUM(Table1[[#This Row],[Math_Marks]:[Social_Marks]])</f>
        <v>348</v>
      </c>
      <c r="O329">
        <f>AVERAGE(Table1[[#This Row],[Math_Marks]:[Social_Marks]])</f>
        <v>69.599999999999994</v>
      </c>
      <c r="P329" t="str">
        <f>IF(Table1[[#This Row],[Total_Marks]]&gt;=400,"Top Performer","Need Improvement")</f>
        <v>Need Improvement</v>
      </c>
      <c r="Q329" t="str">
        <f>IF(Table1[[#This Row],[Total_Marks]]&gt;=400,"Excellent",IF(Table1[[#This Row],[Total_Marks]]&gt;=300,"Good",IF(Table1[[#This Row],[Total_Marks]]&gt;=200,"Average","Below Average")))</f>
        <v>Good</v>
      </c>
    </row>
    <row r="330" spans="1:17" x14ac:dyDescent="0.3">
      <c r="A330" t="s">
        <v>341</v>
      </c>
      <c r="B330" t="s">
        <v>668</v>
      </c>
      <c r="C330" t="s">
        <v>828</v>
      </c>
      <c r="D330">
        <v>22</v>
      </c>
      <c r="E330" t="s">
        <v>832</v>
      </c>
      <c r="F330" t="s">
        <v>838</v>
      </c>
      <c r="G330">
        <v>100</v>
      </c>
      <c r="H330">
        <v>3.2</v>
      </c>
      <c r="I330">
        <v>48</v>
      </c>
      <c r="J330">
        <v>73</v>
      </c>
      <c r="K330">
        <v>70</v>
      </c>
      <c r="L330">
        <v>81</v>
      </c>
      <c r="M330">
        <v>51</v>
      </c>
      <c r="N330">
        <f>SUM(Table1[[#This Row],[Math_Marks]:[Social_Marks]])</f>
        <v>323</v>
      </c>
      <c r="O330">
        <f>AVERAGE(Table1[[#This Row],[Math_Marks]:[Social_Marks]])</f>
        <v>64.599999999999994</v>
      </c>
      <c r="P330" t="str">
        <f>IF(Table1[[#This Row],[Total_Marks]]&gt;=400,"Top Performer","Need Improvement")</f>
        <v>Need Improvement</v>
      </c>
      <c r="Q330" t="str">
        <f>IF(Table1[[#This Row],[Total_Marks]]&gt;=400,"Excellent",IF(Table1[[#This Row],[Total_Marks]]&gt;=300,"Good",IF(Table1[[#This Row],[Total_Marks]]&gt;=200,"Average","Below Average")))</f>
        <v>Good</v>
      </c>
    </row>
    <row r="331" spans="1:17" x14ac:dyDescent="0.3">
      <c r="A331" t="s">
        <v>342</v>
      </c>
      <c r="B331" t="s">
        <v>735</v>
      </c>
      <c r="C331" t="s">
        <v>828</v>
      </c>
      <c r="D331">
        <v>21</v>
      </c>
      <c r="E331" t="s">
        <v>829</v>
      </c>
      <c r="F331" t="s">
        <v>838</v>
      </c>
      <c r="G331">
        <v>67</v>
      </c>
      <c r="H331">
        <v>6</v>
      </c>
      <c r="I331">
        <v>75</v>
      </c>
      <c r="J331">
        <v>80</v>
      </c>
      <c r="K331">
        <v>69</v>
      </c>
      <c r="L331">
        <v>71</v>
      </c>
      <c r="M331">
        <v>72</v>
      </c>
      <c r="N331">
        <f>SUM(Table1[[#This Row],[Math_Marks]:[Social_Marks]])</f>
        <v>367</v>
      </c>
      <c r="O331">
        <f>AVERAGE(Table1[[#This Row],[Math_Marks]:[Social_Marks]])</f>
        <v>73.400000000000006</v>
      </c>
      <c r="P331" t="str">
        <f>IF(Table1[[#This Row],[Total_Marks]]&gt;=400,"Top Performer","Need Improvement")</f>
        <v>Need Improvement</v>
      </c>
      <c r="Q331" t="str">
        <f>IF(Table1[[#This Row],[Total_Marks]]&gt;=400,"Excellent",IF(Table1[[#This Row],[Total_Marks]]&gt;=300,"Good",IF(Table1[[#This Row],[Total_Marks]]&gt;=200,"Average","Below Average")))</f>
        <v>Good</v>
      </c>
    </row>
    <row r="332" spans="1:17" x14ac:dyDescent="0.3">
      <c r="A332" t="s">
        <v>343</v>
      </c>
      <c r="B332" t="s">
        <v>733</v>
      </c>
      <c r="C332" t="s">
        <v>827</v>
      </c>
      <c r="D332">
        <v>18</v>
      </c>
      <c r="E332" t="s">
        <v>831</v>
      </c>
      <c r="F332" t="s">
        <v>836</v>
      </c>
      <c r="G332">
        <v>89</v>
      </c>
      <c r="H332">
        <v>5.6</v>
      </c>
      <c r="I332">
        <v>71</v>
      </c>
      <c r="J332">
        <v>66</v>
      </c>
      <c r="K332">
        <v>71</v>
      </c>
      <c r="L332">
        <v>63</v>
      </c>
      <c r="M332">
        <v>61</v>
      </c>
      <c r="N332">
        <f>SUM(Table1[[#This Row],[Math_Marks]:[Social_Marks]])</f>
        <v>332</v>
      </c>
      <c r="O332">
        <f>AVERAGE(Table1[[#This Row],[Math_Marks]:[Social_Marks]])</f>
        <v>66.400000000000006</v>
      </c>
      <c r="P332" t="str">
        <f>IF(Table1[[#This Row],[Total_Marks]]&gt;=400,"Top Performer","Need Improvement")</f>
        <v>Need Improvement</v>
      </c>
      <c r="Q332" t="str">
        <f>IF(Table1[[#This Row],[Total_Marks]]&gt;=400,"Excellent",IF(Table1[[#This Row],[Total_Marks]]&gt;=300,"Good",IF(Table1[[#This Row],[Total_Marks]]&gt;=200,"Average","Below Average")))</f>
        <v>Good</v>
      </c>
    </row>
    <row r="333" spans="1:17" x14ac:dyDescent="0.3">
      <c r="A333" t="s">
        <v>344</v>
      </c>
      <c r="B333" t="s">
        <v>760</v>
      </c>
      <c r="C333" t="s">
        <v>828</v>
      </c>
      <c r="D333">
        <v>22</v>
      </c>
      <c r="E333" t="s">
        <v>834</v>
      </c>
      <c r="F333" t="s">
        <v>840</v>
      </c>
      <c r="G333">
        <v>82</v>
      </c>
      <c r="H333">
        <v>2.4</v>
      </c>
      <c r="I333">
        <v>72</v>
      </c>
      <c r="J333">
        <v>73</v>
      </c>
      <c r="K333">
        <v>77</v>
      </c>
      <c r="L333">
        <v>62</v>
      </c>
      <c r="M333">
        <v>66</v>
      </c>
      <c r="N333">
        <f>SUM(Table1[[#This Row],[Math_Marks]:[Social_Marks]])</f>
        <v>350</v>
      </c>
      <c r="O333">
        <f>AVERAGE(Table1[[#This Row],[Math_Marks]:[Social_Marks]])</f>
        <v>70</v>
      </c>
      <c r="P333" t="str">
        <f>IF(Table1[[#This Row],[Total_Marks]]&gt;=400,"Top Performer","Need Improvement")</f>
        <v>Need Improvement</v>
      </c>
      <c r="Q333" t="str">
        <f>IF(Table1[[#This Row],[Total_Marks]]&gt;=400,"Excellent",IF(Table1[[#This Row],[Total_Marks]]&gt;=300,"Good",IF(Table1[[#This Row],[Total_Marks]]&gt;=200,"Average","Below Average")))</f>
        <v>Good</v>
      </c>
    </row>
    <row r="334" spans="1:17" x14ac:dyDescent="0.3">
      <c r="A334" t="s">
        <v>345</v>
      </c>
      <c r="B334" t="s">
        <v>670</v>
      </c>
      <c r="C334" t="s">
        <v>828</v>
      </c>
      <c r="D334">
        <v>18</v>
      </c>
      <c r="E334" t="s">
        <v>831</v>
      </c>
      <c r="F334" t="s">
        <v>839</v>
      </c>
      <c r="G334">
        <v>94</v>
      </c>
      <c r="H334">
        <v>4.2</v>
      </c>
      <c r="I334">
        <v>47</v>
      </c>
      <c r="J334">
        <v>72</v>
      </c>
      <c r="K334">
        <v>58</v>
      </c>
      <c r="L334">
        <v>54</v>
      </c>
      <c r="M334">
        <v>57</v>
      </c>
      <c r="N334">
        <f>SUM(Table1[[#This Row],[Math_Marks]:[Social_Marks]])</f>
        <v>288</v>
      </c>
      <c r="O334">
        <f>AVERAGE(Table1[[#This Row],[Math_Marks]:[Social_Marks]])</f>
        <v>57.6</v>
      </c>
      <c r="P334" t="str">
        <f>IF(Table1[[#This Row],[Total_Marks]]&gt;=400,"Top Performer","Need Improvement")</f>
        <v>Need Improvement</v>
      </c>
      <c r="Q334" t="str">
        <f>IF(Table1[[#This Row],[Total_Marks]]&gt;=400,"Excellent",IF(Table1[[#This Row],[Total_Marks]]&gt;=300,"Good",IF(Table1[[#This Row],[Total_Marks]]&gt;=200,"Average","Below Average")))</f>
        <v>Average</v>
      </c>
    </row>
    <row r="335" spans="1:17" x14ac:dyDescent="0.3">
      <c r="A335" t="s">
        <v>346</v>
      </c>
      <c r="B335" t="s">
        <v>651</v>
      </c>
      <c r="C335" t="s">
        <v>827</v>
      </c>
      <c r="D335">
        <v>22</v>
      </c>
      <c r="E335" t="s">
        <v>830</v>
      </c>
      <c r="F335" t="s">
        <v>836</v>
      </c>
      <c r="G335">
        <v>94</v>
      </c>
      <c r="H335">
        <v>3.9</v>
      </c>
      <c r="I335">
        <v>79</v>
      </c>
      <c r="J335">
        <v>84</v>
      </c>
      <c r="K335">
        <v>83</v>
      </c>
      <c r="L335">
        <v>82</v>
      </c>
      <c r="M335">
        <v>80</v>
      </c>
      <c r="N335">
        <f>SUM(Table1[[#This Row],[Math_Marks]:[Social_Marks]])</f>
        <v>408</v>
      </c>
      <c r="O335">
        <f>AVERAGE(Table1[[#This Row],[Math_Marks]:[Social_Marks]])</f>
        <v>81.599999999999994</v>
      </c>
      <c r="P335" t="str">
        <f>IF(Table1[[#This Row],[Total_Marks]]&gt;=400,"Top Performer","Need Improvement")</f>
        <v>Top Performer</v>
      </c>
      <c r="Q335" t="str">
        <f>IF(Table1[[#This Row],[Total_Marks]]&gt;=400,"Excellent",IF(Table1[[#This Row],[Total_Marks]]&gt;=300,"Good",IF(Table1[[#This Row],[Total_Marks]]&gt;=200,"Average","Below Average")))</f>
        <v>Excellent</v>
      </c>
    </row>
    <row r="336" spans="1:17" x14ac:dyDescent="0.3">
      <c r="A336" t="s">
        <v>347</v>
      </c>
      <c r="B336" t="s">
        <v>714</v>
      </c>
      <c r="C336" t="s">
        <v>828</v>
      </c>
      <c r="D336">
        <v>18</v>
      </c>
      <c r="E336" t="s">
        <v>833</v>
      </c>
      <c r="F336" t="s">
        <v>837</v>
      </c>
      <c r="G336">
        <v>82</v>
      </c>
      <c r="H336">
        <v>3.8</v>
      </c>
      <c r="I336">
        <v>64</v>
      </c>
      <c r="J336">
        <v>70</v>
      </c>
      <c r="K336">
        <v>66</v>
      </c>
      <c r="L336">
        <v>54</v>
      </c>
      <c r="M336">
        <v>67</v>
      </c>
      <c r="N336">
        <f>SUM(Table1[[#This Row],[Math_Marks]:[Social_Marks]])</f>
        <v>321</v>
      </c>
      <c r="O336">
        <f>AVERAGE(Table1[[#This Row],[Math_Marks]:[Social_Marks]])</f>
        <v>64.2</v>
      </c>
      <c r="P336" t="str">
        <f>IF(Table1[[#This Row],[Total_Marks]]&gt;=400,"Top Performer","Need Improvement")</f>
        <v>Need Improvement</v>
      </c>
      <c r="Q336" t="str">
        <f>IF(Table1[[#This Row],[Total_Marks]]&gt;=400,"Excellent",IF(Table1[[#This Row],[Total_Marks]]&gt;=300,"Good",IF(Table1[[#This Row],[Total_Marks]]&gt;=200,"Average","Below Average")))</f>
        <v>Good</v>
      </c>
    </row>
    <row r="337" spans="1:17" x14ac:dyDescent="0.3">
      <c r="A337" t="s">
        <v>348</v>
      </c>
      <c r="B337" t="s">
        <v>786</v>
      </c>
      <c r="C337" t="s">
        <v>828</v>
      </c>
      <c r="D337">
        <v>20</v>
      </c>
      <c r="E337" t="s">
        <v>829</v>
      </c>
      <c r="F337" t="s">
        <v>842</v>
      </c>
      <c r="G337">
        <v>86</v>
      </c>
      <c r="H337">
        <v>4.5999999999999996</v>
      </c>
      <c r="I337">
        <v>57</v>
      </c>
      <c r="J337">
        <v>61</v>
      </c>
      <c r="K337">
        <v>88</v>
      </c>
      <c r="L337">
        <v>64</v>
      </c>
      <c r="M337">
        <v>77</v>
      </c>
      <c r="N337">
        <f>SUM(Table1[[#This Row],[Math_Marks]:[Social_Marks]])</f>
        <v>347</v>
      </c>
      <c r="O337">
        <f>AVERAGE(Table1[[#This Row],[Math_Marks]:[Social_Marks]])</f>
        <v>69.400000000000006</v>
      </c>
      <c r="P337" t="str">
        <f>IF(Table1[[#This Row],[Total_Marks]]&gt;=400,"Top Performer","Need Improvement")</f>
        <v>Need Improvement</v>
      </c>
      <c r="Q337" t="str">
        <f>IF(Table1[[#This Row],[Total_Marks]]&gt;=400,"Excellent",IF(Table1[[#This Row],[Total_Marks]]&gt;=300,"Good",IF(Table1[[#This Row],[Total_Marks]]&gt;=200,"Average","Below Average")))</f>
        <v>Good</v>
      </c>
    </row>
    <row r="338" spans="1:17" x14ac:dyDescent="0.3">
      <c r="A338" t="s">
        <v>349</v>
      </c>
      <c r="B338" t="s">
        <v>620</v>
      </c>
      <c r="C338" t="s">
        <v>827</v>
      </c>
      <c r="D338">
        <v>19</v>
      </c>
      <c r="E338" t="s">
        <v>830</v>
      </c>
      <c r="F338" t="s">
        <v>842</v>
      </c>
      <c r="G338">
        <v>87</v>
      </c>
      <c r="H338">
        <v>4</v>
      </c>
      <c r="I338">
        <v>55</v>
      </c>
      <c r="J338">
        <v>65</v>
      </c>
      <c r="K338">
        <v>53</v>
      </c>
      <c r="L338">
        <v>66</v>
      </c>
      <c r="M338">
        <v>84</v>
      </c>
      <c r="N338">
        <f>SUM(Table1[[#This Row],[Math_Marks]:[Social_Marks]])</f>
        <v>323</v>
      </c>
      <c r="O338">
        <f>AVERAGE(Table1[[#This Row],[Math_Marks]:[Social_Marks]])</f>
        <v>64.599999999999994</v>
      </c>
      <c r="P338" t="str">
        <f>IF(Table1[[#This Row],[Total_Marks]]&gt;=400,"Top Performer","Need Improvement")</f>
        <v>Need Improvement</v>
      </c>
      <c r="Q338" t="str">
        <f>IF(Table1[[#This Row],[Total_Marks]]&gt;=400,"Excellent",IF(Table1[[#This Row],[Total_Marks]]&gt;=300,"Good",IF(Table1[[#This Row],[Total_Marks]]&gt;=200,"Average","Below Average")))</f>
        <v>Good</v>
      </c>
    </row>
    <row r="339" spans="1:17" x14ac:dyDescent="0.3">
      <c r="A339" t="s">
        <v>350</v>
      </c>
      <c r="B339" t="s">
        <v>647</v>
      </c>
      <c r="C339" t="s">
        <v>827</v>
      </c>
      <c r="D339">
        <v>22</v>
      </c>
      <c r="E339" t="s">
        <v>833</v>
      </c>
      <c r="F339" t="s">
        <v>835</v>
      </c>
      <c r="G339">
        <v>64</v>
      </c>
      <c r="H339">
        <v>1.8</v>
      </c>
      <c r="I339">
        <v>55</v>
      </c>
      <c r="J339">
        <v>56</v>
      </c>
      <c r="K339">
        <v>60</v>
      </c>
      <c r="L339">
        <v>53</v>
      </c>
      <c r="M339">
        <v>51</v>
      </c>
      <c r="N339">
        <f>SUM(Table1[[#This Row],[Math_Marks]:[Social_Marks]])</f>
        <v>275</v>
      </c>
      <c r="O339">
        <f>AVERAGE(Table1[[#This Row],[Math_Marks]:[Social_Marks]])</f>
        <v>55</v>
      </c>
      <c r="P339" t="str">
        <f>IF(Table1[[#This Row],[Total_Marks]]&gt;=400,"Top Performer","Need Improvement")</f>
        <v>Need Improvement</v>
      </c>
      <c r="Q339" t="str">
        <f>IF(Table1[[#This Row],[Total_Marks]]&gt;=400,"Excellent",IF(Table1[[#This Row],[Total_Marks]]&gt;=300,"Good",IF(Table1[[#This Row],[Total_Marks]]&gt;=200,"Average","Below Average")))</f>
        <v>Average</v>
      </c>
    </row>
    <row r="340" spans="1:17" x14ac:dyDescent="0.3">
      <c r="A340" t="s">
        <v>351</v>
      </c>
      <c r="B340" t="s">
        <v>693</v>
      </c>
      <c r="C340" t="s">
        <v>828</v>
      </c>
      <c r="D340">
        <v>21</v>
      </c>
      <c r="E340" t="s">
        <v>829</v>
      </c>
      <c r="F340" t="s">
        <v>837</v>
      </c>
      <c r="G340">
        <v>74</v>
      </c>
      <c r="H340">
        <v>4.5999999999999996</v>
      </c>
      <c r="I340">
        <v>63</v>
      </c>
      <c r="J340">
        <v>69</v>
      </c>
      <c r="K340">
        <v>63</v>
      </c>
      <c r="L340">
        <v>62</v>
      </c>
      <c r="M340">
        <v>68</v>
      </c>
      <c r="N340">
        <f>SUM(Table1[[#This Row],[Math_Marks]:[Social_Marks]])</f>
        <v>325</v>
      </c>
      <c r="O340">
        <f>AVERAGE(Table1[[#This Row],[Math_Marks]:[Social_Marks]])</f>
        <v>65</v>
      </c>
      <c r="P340" t="str">
        <f>IF(Table1[[#This Row],[Total_Marks]]&gt;=400,"Top Performer","Need Improvement")</f>
        <v>Need Improvement</v>
      </c>
      <c r="Q340" t="str">
        <f>IF(Table1[[#This Row],[Total_Marks]]&gt;=400,"Excellent",IF(Table1[[#This Row],[Total_Marks]]&gt;=300,"Good",IF(Table1[[#This Row],[Total_Marks]]&gt;=200,"Average","Below Average")))</f>
        <v>Good</v>
      </c>
    </row>
    <row r="341" spans="1:17" x14ac:dyDescent="0.3">
      <c r="A341" t="s">
        <v>352</v>
      </c>
      <c r="B341" t="s">
        <v>661</v>
      </c>
      <c r="C341" t="s">
        <v>828</v>
      </c>
      <c r="D341">
        <v>18</v>
      </c>
      <c r="E341" t="s">
        <v>832</v>
      </c>
      <c r="F341" t="s">
        <v>838</v>
      </c>
      <c r="G341">
        <v>74</v>
      </c>
      <c r="H341">
        <v>2.5</v>
      </c>
      <c r="I341">
        <v>66</v>
      </c>
      <c r="J341">
        <v>66</v>
      </c>
      <c r="K341">
        <v>65</v>
      </c>
      <c r="L341">
        <v>63</v>
      </c>
      <c r="M341">
        <v>68</v>
      </c>
      <c r="N341">
        <f>SUM(Table1[[#This Row],[Math_Marks]:[Social_Marks]])</f>
        <v>328</v>
      </c>
      <c r="O341">
        <f>AVERAGE(Table1[[#This Row],[Math_Marks]:[Social_Marks]])</f>
        <v>65.599999999999994</v>
      </c>
      <c r="P341" t="str">
        <f>IF(Table1[[#This Row],[Total_Marks]]&gt;=400,"Top Performer","Need Improvement")</f>
        <v>Need Improvement</v>
      </c>
      <c r="Q341" t="str">
        <f>IF(Table1[[#This Row],[Total_Marks]]&gt;=400,"Excellent",IF(Table1[[#This Row],[Total_Marks]]&gt;=300,"Good",IF(Table1[[#This Row],[Total_Marks]]&gt;=200,"Average","Below Average")))</f>
        <v>Good</v>
      </c>
    </row>
    <row r="342" spans="1:17" x14ac:dyDescent="0.3">
      <c r="A342" t="s">
        <v>353</v>
      </c>
      <c r="B342" t="s">
        <v>620</v>
      </c>
      <c r="C342" t="s">
        <v>827</v>
      </c>
      <c r="D342">
        <v>22</v>
      </c>
      <c r="E342" t="s">
        <v>830</v>
      </c>
      <c r="F342" t="s">
        <v>836</v>
      </c>
      <c r="G342">
        <v>94</v>
      </c>
      <c r="H342">
        <v>4.0999999999999996</v>
      </c>
      <c r="I342">
        <v>75</v>
      </c>
      <c r="J342">
        <v>74</v>
      </c>
      <c r="K342">
        <v>67</v>
      </c>
      <c r="L342">
        <v>78</v>
      </c>
      <c r="M342">
        <v>95</v>
      </c>
      <c r="N342">
        <f>SUM(Table1[[#This Row],[Math_Marks]:[Social_Marks]])</f>
        <v>389</v>
      </c>
      <c r="O342">
        <f>AVERAGE(Table1[[#This Row],[Math_Marks]:[Social_Marks]])</f>
        <v>77.8</v>
      </c>
      <c r="P342" t="str">
        <f>IF(Table1[[#This Row],[Total_Marks]]&gt;=400,"Top Performer","Need Improvement")</f>
        <v>Need Improvement</v>
      </c>
      <c r="Q342" t="str">
        <f>IF(Table1[[#This Row],[Total_Marks]]&gt;=400,"Excellent",IF(Table1[[#This Row],[Total_Marks]]&gt;=300,"Good",IF(Table1[[#This Row],[Total_Marks]]&gt;=200,"Average","Below Average")))</f>
        <v>Good</v>
      </c>
    </row>
    <row r="343" spans="1:17" x14ac:dyDescent="0.3">
      <c r="A343" t="s">
        <v>354</v>
      </c>
      <c r="B343" t="s">
        <v>762</v>
      </c>
      <c r="C343" t="s">
        <v>828</v>
      </c>
      <c r="D343">
        <v>18</v>
      </c>
      <c r="E343" t="s">
        <v>830</v>
      </c>
      <c r="F343" t="s">
        <v>841</v>
      </c>
      <c r="G343">
        <v>77</v>
      </c>
      <c r="H343">
        <v>6.1</v>
      </c>
      <c r="I343">
        <v>64</v>
      </c>
      <c r="J343">
        <v>55</v>
      </c>
      <c r="K343">
        <v>62</v>
      </c>
      <c r="L343">
        <v>54</v>
      </c>
      <c r="M343">
        <v>73</v>
      </c>
      <c r="N343">
        <f>SUM(Table1[[#This Row],[Math_Marks]:[Social_Marks]])</f>
        <v>308</v>
      </c>
      <c r="O343">
        <f>AVERAGE(Table1[[#This Row],[Math_Marks]:[Social_Marks]])</f>
        <v>61.6</v>
      </c>
      <c r="P343" t="str">
        <f>IF(Table1[[#This Row],[Total_Marks]]&gt;=400,"Top Performer","Need Improvement")</f>
        <v>Need Improvement</v>
      </c>
      <c r="Q343" t="str">
        <f>IF(Table1[[#This Row],[Total_Marks]]&gt;=400,"Excellent",IF(Table1[[#This Row],[Total_Marks]]&gt;=300,"Good",IF(Table1[[#This Row],[Total_Marks]]&gt;=200,"Average","Below Average")))</f>
        <v>Good</v>
      </c>
    </row>
    <row r="344" spans="1:17" x14ac:dyDescent="0.3">
      <c r="A344" t="s">
        <v>355</v>
      </c>
      <c r="B344" t="s">
        <v>787</v>
      </c>
      <c r="C344" t="s">
        <v>827</v>
      </c>
      <c r="D344">
        <v>20</v>
      </c>
      <c r="E344" t="s">
        <v>829</v>
      </c>
      <c r="F344" t="s">
        <v>839</v>
      </c>
      <c r="G344">
        <v>90</v>
      </c>
      <c r="H344">
        <v>2.7</v>
      </c>
      <c r="I344">
        <v>68</v>
      </c>
      <c r="J344">
        <v>66</v>
      </c>
      <c r="K344">
        <v>69</v>
      </c>
      <c r="L344">
        <v>77</v>
      </c>
      <c r="M344">
        <v>69</v>
      </c>
      <c r="N344">
        <f>SUM(Table1[[#This Row],[Math_Marks]:[Social_Marks]])</f>
        <v>349</v>
      </c>
      <c r="O344">
        <f>AVERAGE(Table1[[#This Row],[Math_Marks]:[Social_Marks]])</f>
        <v>69.8</v>
      </c>
      <c r="P344" t="str">
        <f>IF(Table1[[#This Row],[Total_Marks]]&gt;=400,"Top Performer","Need Improvement")</f>
        <v>Need Improvement</v>
      </c>
      <c r="Q344" t="str">
        <f>IF(Table1[[#This Row],[Total_Marks]]&gt;=400,"Excellent",IF(Table1[[#This Row],[Total_Marks]]&gt;=300,"Good",IF(Table1[[#This Row],[Total_Marks]]&gt;=200,"Average","Below Average")))</f>
        <v>Good</v>
      </c>
    </row>
    <row r="345" spans="1:17" x14ac:dyDescent="0.3">
      <c r="A345" t="s">
        <v>356</v>
      </c>
      <c r="B345" t="s">
        <v>698</v>
      </c>
      <c r="C345" t="s">
        <v>828</v>
      </c>
      <c r="D345">
        <v>18</v>
      </c>
      <c r="E345" t="s">
        <v>830</v>
      </c>
      <c r="F345" t="s">
        <v>840</v>
      </c>
      <c r="G345">
        <v>80</v>
      </c>
      <c r="H345">
        <v>1.9</v>
      </c>
      <c r="I345">
        <v>45</v>
      </c>
      <c r="J345">
        <v>55</v>
      </c>
      <c r="K345">
        <v>65</v>
      </c>
      <c r="L345">
        <v>61</v>
      </c>
      <c r="M345">
        <v>64</v>
      </c>
      <c r="N345">
        <f>SUM(Table1[[#This Row],[Math_Marks]:[Social_Marks]])</f>
        <v>290</v>
      </c>
      <c r="O345">
        <f>AVERAGE(Table1[[#This Row],[Math_Marks]:[Social_Marks]])</f>
        <v>58</v>
      </c>
      <c r="P345" t="str">
        <f>IF(Table1[[#This Row],[Total_Marks]]&gt;=400,"Top Performer","Need Improvement")</f>
        <v>Need Improvement</v>
      </c>
      <c r="Q345" t="str">
        <f>IF(Table1[[#This Row],[Total_Marks]]&gt;=400,"Excellent",IF(Table1[[#This Row],[Total_Marks]]&gt;=300,"Good",IF(Table1[[#This Row],[Total_Marks]]&gt;=200,"Average","Below Average")))</f>
        <v>Average</v>
      </c>
    </row>
    <row r="346" spans="1:17" x14ac:dyDescent="0.3">
      <c r="A346" t="s">
        <v>357</v>
      </c>
      <c r="B346" t="s">
        <v>766</v>
      </c>
      <c r="C346" t="s">
        <v>828</v>
      </c>
      <c r="D346">
        <v>19</v>
      </c>
      <c r="E346" t="s">
        <v>830</v>
      </c>
      <c r="F346" t="s">
        <v>836</v>
      </c>
      <c r="G346">
        <v>86</v>
      </c>
      <c r="H346">
        <v>5.2</v>
      </c>
      <c r="I346">
        <v>72</v>
      </c>
      <c r="J346">
        <v>65</v>
      </c>
      <c r="K346">
        <v>79</v>
      </c>
      <c r="L346">
        <v>80</v>
      </c>
      <c r="M346">
        <v>85</v>
      </c>
      <c r="N346">
        <f>SUM(Table1[[#This Row],[Math_Marks]:[Social_Marks]])</f>
        <v>381</v>
      </c>
      <c r="O346">
        <f>AVERAGE(Table1[[#This Row],[Math_Marks]:[Social_Marks]])</f>
        <v>76.2</v>
      </c>
      <c r="P346" t="str">
        <f>IF(Table1[[#This Row],[Total_Marks]]&gt;=400,"Top Performer","Need Improvement")</f>
        <v>Need Improvement</v>
      </c>
      <c r="Q346" t="str">
        <f>IF(Table1[[#This Row],[Total_Marks]]&gt;=400,"Excellent",IF(Table1[[#This Row],[Total_Marks]]&gt;=300,"Good",IF(Table1[[#This Row],[Total_Marks]]&gt;=200,"Average","Below Average")))</f>
        <v>Good</v>
      </c>
    </row>
    <row r="347" spans="1:17" x14ac:dyDescent="0.3">
      <c r="A347" t="s">
        <v>358</v>
      </c>
      <c r="B347" t="s">
        <v>643</v>
      </c>
      <c r="C347" t="s">
        <v>827</v>
      </c>
      <c r="D347">
        <v>19</v>
      </c>
      <c r="E347" t="s">
        <v>832</v>
      </c>
      <c r="F347" t="s">
        <v>841</v>
      </c>
      <c r="G347">
        <v>81</v>
      </c>
      <c r="H347">
        <v>1</v>
      </c>
      <c r="I347">
        <v>41</v>
      </c>
      <c r="J347">
        <v>48</v>
      </c>
      <c r="K347">
        <v>66</v>
      </c>
      <c r="L347">
        <v>70</v>
      </c>
      <c r="M347">
        <v>46</v>
      </c>
      <c r="N347">
        <f>SUM(Table1[[#This Row],[Math_Marks]:[Social_Marks]])</f>
        <v>271</v>
      </c>
      <c r="O347">
        <f>AVERAGE(Table1[[#This Row],[Math_Marks]:[Social_Marks]])</f>
        <v>54.2</v>
      </c>
      <c r="P347" t="str">
        <f>IF(Table1[[#This Row],[Total_Marks]]&gt;=400,"Top Performer","Need Improvement")</f>
        <v>Need Improvement</v>
      </c>
      <c r="Q347" t="str">
        <f>IF(Table1[[#This Row],[Total_Marks]]&gt;=400,"Excellent",IF(Table1[[#This Row],[Total_Marks]]&gt;=300,"Good",IF(Table1[[#This Row],[Total_Marks]]&gt;=200,"Average","Below Average")))</f>
        <v>Average</v>
      </c>
    </row>
    <row r="348" spans="1:17" x14ac:dyDescent="0.3">
      <c r="A348" t="s">
        <v>359</v>
      </c>
      <c r="B348" t="s">
        <v>696</v>
      </c>
      <c r="C348" t="s">
        <v>828</v>
      </c>
      <c r="D348">
        <v>18</v>
      </c>
      <c r="E348" t="s">
        <v>833</v>
      </c>
      <c r="F348" t="s">
        <v>840</v>
      </c>
      <c r="G348">
        <v>77</v>
      </c>
      <c r="H348">
        <v>3.1</v>
      </c>
      <c r="I348">
        <v>68</v>
      </c>
      <c r="J348">
        <v>77</v>
      </c>
      <c r="K348">
        <v>59</v>
      </c>
      <c r="L348">
        <v>70</v>
      </c>
      <c r="M348">
        <v>58</v>
      </c>
      <c r="N348">
        <f>SUM(Table1[[#This Row],[Math_Marks]:[Social_Marks]])</f>
        <v>332</v>
      </c>
      <c r="O348">
        <f>AVERAGE(Table1[[#This Row],[Math_Marks]:[Social_Marks]])</f>
        <v>66.400000000000006</v>
      </c>
      <c r="P348" t="str">
        <f>IF(Table1[[#This Row],[Total_Marks]]&gt;=400,"Top Performer","Need Improvement")</f>
        <v>Need Improvement</v>
      </c>
      <c r="Q348" t="str">
        <f>IF(Table1[[#This Row],[Total_Marks]]&gt;=400,"Excellent",IF(Table1[[#This Row],[Total_Marks]]&gt;=300,"Good",IF(Table1[[#This Row],[Total_Marks]]&gt;=200,"Average","Below Average")))</f>
        <v>Good</v>
      </c>
    </row>
    <row r="349" spans="1:17" x14ac:dyDescent="0.3">
      <c r="A349" t="s">
        <v>360</v>
      </c>
      <c r="B349" t="s">
        <v>788</v>
      </c>
      <c r="C349" t="s">
        <v>827</v>
      </c>
      <c r="D349">
        <v>20</v>
      </c>
      <c r="E349" t="s">
        <v>831</v>
      </c>
      <c r="F349" t="s">
        <v>842</v>
      </c>
      <c r="G349">
        <v>79</v>
      </c>
      <c r="H349">
        <v>2.7</v>
      </c>
      <c r="I349">
        <v>60</v>
      </c>
      <c r="J349">
        <v>65</v>
      </c>
      <c r="K349">
        <v>37</v>
      </c>
      <c r="L349">
        <v>51</v>
      </c>
      <c r="M349">
        <v>59</v>
      </c>
      <c r="N349">
        <f>SUM(Table1[[#This Row],[Math_Marks]:[Social_Marks]])</f>
        <v>272</v>
      </c>
      <c r="O349">
        <f>AVERAGE(Table1[[#This Row],[Math_Marks]:[Social_Marks]])</f>
        <v>54.4</v>
      </c>
      <c r="P349" t="str">
        <f>IF(Table1[[#This Row],[Total_Marks]]&gt;=400,"Top Performer","Need Improvement")</f>
        <v>Need Improvement</v>
      </c>
      <c r="Q349" t="str">
        <f>IF(Table1[[#This Row],[Total_Marks]]&gt;=400,"Excellent",IF(Table1[[#This Row],[Total_Marks]]&gt;=300,"Good",IF(Table1[[#This Row],[Total_Marks]]&gt;=200,"Average","Below Average")))</f>
        <v>Average</v>
      </c>
    </row>
    <row r="350" spans="1:17" x14ac:dyDescent="0.3">
      <c r="A350" t="s">
        <v>361</v>
      </c>
      <c r="B350" t="s">
        <v>699</v>
      </c>
      <c r="C350" t="s">
        <v>828</v>
      </c>
      <c r="D350">
        <v>20</v>
      </c>
      <c r="E350" t="s">
        <v>832</v>
      </c>
      <c r="F350" t="s">
        <v>836</v>
      </c>
      <c r="G350">
        <v>79</v>
      </c>
      <c r="H350">
        <v>3</v>
      </c>
      <c r="I350">
        <v>68</v>
      </c>
      <c r="J350">
        <v>53</v>
      </c>
      <c r="K350">
        <v>58</v>
      </c>
      <c r="L350">
        <v>60</v>
      </c>
      <c r="M350">
        <v>71</v>
      </c>
      <c r="N350">
        <f>SUM(Table1[[#This Row],[Math_Marks]:[Social_Marks]])</f>
        <v>310</v>
      </c>
      <c r="O350">
        <f>AVERAGE(Table1[[#This Row],[Math_Marks]:[Social_Marks]])</f>
        <v>62</v>
      </c>
      <c r="P350" t="str">
        <f>IF(Table1[[#This Row],[Total_Marks]]&gt;=400,"Top Performer","Need Improvement")</f>
        <v>Need Improvement</v>
      </c>
      <c r="Q350" t="str">
        <f>IF(Table1[[#This Row],[Total_Marks]]&gt;=400,"Excellent",IF(Table1[[#This Row],[Total_Marks]]&gt;=300,"Good",IF(Table1[[#This Row],[Total_Marks]]&gt;=200,"Average","Below Average")))</f>
        <v>Good</v>
      </c>
    </row>
    <row r="351" spans="1:17" x14ac:dyDescent="0.3">
      <c r="A351" t="s">
        <v>362</v>
      </c>
      <c r="B351" t="s">
        <v>714</v>
      </c>
      <c r="C351" t="s">
        <v>827</v>
      </c>
      <c r="D351">
        <v>22</v>
      </c>
      <c r="E351" t="s">
        <v>829</v>
      </c>
      <c r="F351" t="s">
        <v>835</v>
      </c>
      <c r="G351">
        <v>81</v>
      </c>
      <c r="H351">
        <v>3.5</v>
      </c>
      <c r="I351">
        <v>58</v>
      </c>
      <c r="J351">
        <v>67</v>
      </c>
      <c r="K351">
        <v>62</v>
      </c>
      <c r="L351">
        <v>62</v>
      </c>
      <c r="M351">
        <v>52</v>
      </c>
      <c r="N351">
        <f>SUM(Table1[[#This Row],[Math_Marks]:[Social_Marks]])</f>
        <v>301</v>
      </c>
      <c r="O351">
        <f>AVERAGE(Table1[[#This Row],[Math_Marks]:[Social_Marks]])</f>
        <v>60.2</v>
      </c>
      <c r="P351" t="str">
        <f>IF(Table1[[#This Row],[Total_Marks]]&gt;=400,"Top Performer","Need Improvement")</f>
        <v>Need Improvement</v>
      </c>
      <c r="Q351" t="str">
        <f>IF(Table1[[#This Row],[Total_Marks]]&gt;=400,"Excellent",IF(Table1[[#This Row],[Total_Marks]]&gt;=300,"Good",IF(Table1[[#This Row],[Total_Marks]]&gt;=200,"Average","Below Average")))</f>
        <v>Good</v>
      </c>
    </row>
    <row r="352" spans="1:17" x14ac:dyDescent="0.3">
      <c r="A352" t="s">
        <v>363</v>
      </c>
      <c r="B352" t="s">
        <v>760</v>
      </c>
      <c r="C352" t="s">
        <v>828</v>
      </c>
      <c r="D352">
        <v>19</v>
      </c>
      <c r="E352" t="s">
        <v>829</v>
      </c>
      <c r="F352" t="s">
        <v>840</v>
      </c>
      <c r="G352">
        <v>75</v>
      </c>
      <c r="H352">
        <v>5.9</v>
      </c>
      <c r="I352">
        <v>78</v>
      </c>
      <c r="J352">
        <v>72</v>
      </c>
      <c r="K352">
        <v>71</v>
      </c>
      <c r="L352">
        <v>72</v>
      </c>
      <c r="M352">
        <v>62</v>
      </c>
      <c r="N352">
        <f>SUM(Table1[[#This Row],[Math_Marks]:[Social_Marks]])</f>
        <v>355</v>
      </c>
      <c r="O352">
        <f>AVERAGE(Table1[[#This Row],[Math_Marks]:[Social_Marks]])</f>
        <v>71</v>
      </c>
      <c r="P352" t="str">
        <f>IF(Table1[[#This Row],[Total_Marks]]&gt;=400,"Top Performer","Need Improvement")</f>
        <v>Need Improvement</v>
      </c>
      <c r="Q352" t="str">
        <f>IF(Table1[[#This Row],[Total_Marks]]&gt;=400,"Excellent",IF(Table1[[#This Row],[Total_Marks]]&gt;=300,"Good",IF(Table1[[#This Row],[Total_Marks]]&gt;=200,"Average","Below Average")))</f>
        <v>Good</v>
      </c>
    </row>
    <row r="353" spans="1:17" x14ac:dyDescent="0.3">
      <c r="A353" t="s">
        <v>364</v>
      </c>
      <c r="B353" t="s">
        <v>670</v>
      </c>
      <c r="C353" t="s">
        <v>827</v>
      </c>
      <c r="D353">
        <v>21</v>
      </c>
      <c r="E353" t="s">
        <v>833</v>
      </c>
      <c r="F353" t="s">
        <v>839</v>
      </c>
      <c r="G353">
        <v>82</v>
      </c>
      <c r="H353">
        <v>1</v>
      </c>
      <c r="I353">
        <v>74</v>
      </c>
      <c r="J353">
        <v>59</v>
      </c>
      <c r="K353">
        <v>46</v>
      </c>
      <c r="L353">
        <v>57</v>
      </c>
      <c r="M353">
        <v>46</v>
      </c>
      <c r="N353">
        <f>SUM(Table1[[#This Row],[Math_Marks]:[Social_Marks]])</f>
        <v>282</v>
      </c>
      <c r="O353">
        <f>AVERAGE(Table1[[#This Row],[Math_Marks]:[Social_Marks]])</f>
        <v>56.4</v>
      </c>
      <c r="P353" t="str">
        <f>IF(Table1[[#This Row],[Total_Marks]]&gt;=400,"Top Performer","Need Improvement")</f>
        <v>Need Improvement</v>
      </c>
      <c r="Q353" t="str">
        <f>IF(Table1[[#This Row],[Total_Marks]]&gt;=400,"Excellent",IF(Table1[[#This Row],[Total_Marks]]&gt;=300,"Good",IF(Table1[[#This Row],[Total_Marks]]&gt;=200,"Average","Below Average")))</f>
        <v>Average</v>
      </c>
    </row>
    <row r="354" spans="1:17" x14ac:dyDescent="0.3">
      <c r="A354" t="s">
        <v>365</v>
      </c>
      <c r="B354" t="s">
        <v>787</v>
      </c>
      <c r="C354" t="s">
        <v>827</v>
      </c>
      <c r="D354">
        <v>19</v>
      </c>
      <c r="E354" t="s">
        <v>832</v>
      </c>
      <c r="F354" t="s">
        <v>840</v>
      </c>
      <c r="G354">
        <v>65</v>
      </c>
      <c r="H354">
        <v>2.1</v>
      </c>
      <c r="I354">
        <v>51</v>
      </c>
      <c r="J354">
        <v>57</v>
      </c>
      <c r="K354">
        <v>44</v>
      </c>
      <c r="L354">
        <v>59</v>
      </c>
      <c r="M354">
        <v>44</v>
      </c>
      <c r="N354">
        <f>SUM(Table1[[#This Row],[Math_Marks]:[Social_Marks]])</f>
        <v>255</v>
      </c>
      <c r="O354">
        <f>AVERAGE(Table1[[#This Row],[Math_Marks]:[Social_Marks]])</f>
        <v>51</v>
      </c>
      <c r="P354" t="str">
        <f>IF(Table1[[#This Row],[Total_Marks]]&gt;=400,"Top Performer","Need Improvement")</f>
        <v>Need Improvement</v>
      </c>
      <c r="Q354" t="str">
        <f>IF(Table1[[#This Row],[Total_Marks]]&gt;=400,"Excellent",IF(Table1[[#This Row],[Total_Marks]]&gt;=300,"Good",IF(Table1[[#This Row],[Total_Marks]]&gt;=200,"Average","Below Average")))</f>
        <v>Average</v>
      </c>
    </row>
    <row r="355" spans="1:17" x14ac:dyDescent="0.3">
      <c r="A355" t="s">
        <v>366</v>
      </c>
      <c r="B355" t="s">
        <v>778</v>
      </c>
      <c r="C355" t="s">
        <v>827</v>
      </c>
      <c r="D355">
        <v>19</v>
      </c>
      <c r="E355" t="s">
        <v>830</v>
      </c>
      <c r="F355" t="s">
        <v>840</v>
      </c>
      <c r="G355">
        <v>85</v>
      </c>
      <c r="H355">
        <v>6.3</v>
      </c>
      <c r="I355">
        <v>82</v>
      </c>
      <c r="J355">
        <v>77</v>
      </c>
      <c r="K355">
        <v>69</v>
      </c>
      <c r="L355">
        <v>73</v>
      </c>
      <c r="M355">
        <v>67</v>
      </c>
      <c r="N355">
        <f>SUM(Table1[[#This Row],[Math_Marks]:[Social_Marks]])</f>
        <v>368</v>
      </c>
      <c r="O355">
        <f>AVERAGE(Table1[[#This Row],[Math_Marks]:[Social_Marks]])</f>
        <v>73.599999999999994</v>
      </c>
      <c r="P355" t="str">
        <f>IF(Table1[[#This Row],[Total_Marks]]&gt;=400,"Top Performer","Need Improvement")</f>
        <v>Need Improvement</v>
      </c>
      <c r="Q355" t="str">
        <f>IF(Table1[[#This Row],[Total_Marks]]&gt;=400,"Excellent",IF(Table1[[#This Row],[Total_Marks]]&gt;=300,"Good",IF(Table1[[#This Row],[Total_Marks]]&gt;=200,"Average","Below Average")))</f>
        <v>Good</v>
      </c>
    </row>
    <row r="356" spans="1:17" x14ac:dyDescent="0.3">
      <c r="A356" t="s">
        <v>367</v>
      </c>
      <c r="B356" t="s">
        <v>752</v>
      </c>
      <c r="C356" t="s">
        <v>827</v>
      </c>
      <c r="D356">
        <v>21</v>
      </c>
      <c r="E356" t="s">
        <v>829</v>
      </c>
      <c r="F356" t="s">
        <v>836</v>
      </c>
      <c r="G356">
        <v>71</v>
      </c>
      <c r="H356">
        <v>4.3</v>
      </c>
      <c r="I356">
        <v>57</v>
      </c>
      <c r="J356">
        <v>51</v>
      </c>
      <c r="K356">
        <v>66</v>
      </c>
      <c r="L356">
        <v>57</v>
      </c>
      <c r="M356">
        <v>65</v>
      </c>
      <c r="N356">
        <f>SUM(Table1[[#This Row],[Math_Marks]:[Social_Marks]])</f>
        <v>296</v>
      </c>
      <c r="O356">
        <f>AVERAGE(Table1[[#This Row],[Math_Marks]:[Social_Marks]])</f>
        <v>59.2</v>
      </c>
      <c r="P356" t="str">
        <f>IF(Table1[[#This Row],[Total_Marks]]&gt;=400,"Top Performer","Need Improvement")</f>
        <v>Need Improvement</v>
      </c>
      <c r="Q356" t="str">
        <f>IF(Table1[[#This Row],[Total_Marks]]&gt;=400,"Excellent",IF(Table1[[#This Row],[Total_Marks]]&gt;=300,"Good",IF(Table1[[#This Row],[Total_Marks]]&gt;=200,"Average","Below Average")))</f>
        <v>Average</v>
      </c>
    </row>
    <row r="357" spans="1:17" x14ac:dyDescent="0.3">
      <c r="A357" t="s">
        <v>368</v>
      </c>
      <c r="B357" t="s">
        <v>749</v>
      </c>
      <c r="C357" t="s">
        <v>828</v>
      </c>
      <c r="D357">
        <v>21</v>
      </c>
      <c r="E357" t="s">
        <v>833</v>
      </c>
      <c r="F357" t="s">
        <v>839</v>
      </c>
      <c r="G357">
        <v>78</v>
      </c>
      <c r="H357">
        <v>3.4</v>
      </c>
      <c r="I357">
        <v>47</v>
      </c>
      <c r="J357">
        <v>45</v>
      </c>
      <c r="K357">
        <v>38</v>
      </c>
      <c r="L357">
        <v>48</v>
      </c>
      <c r="M357">
        <v>62</v>
      </c>
      <c r="N357">
        <f>SUM(Table1[[#This Row],[Math_Marks]:[Social_Marks]])</f>
        <v>240</v>
      </c>
      <c r="O357">
        <f>AVERAGE(Table1[[#This Row],[Math_Marks]:[Social_Marks]])</f>
        <v>48</v>
      </c>
      <c r="P357" t="str">
        <f>IF(Table1[[#This Row],[Total_Marks]]&gt;=400,"Top Performer","Need Improvement")</f>
        <v>Need Improvement</v>
      </c>
      <c r="Q357" t="str">
        <f>IF(Table1[[#This Row],[Total_Marks]]&gt;=400,"Excellent",IF(Table1[[#This Row],[Total_Marks]]&gt;=300,"Good",IF(Table1[[#This Row],[Total_Marks]]&gt;=200,"Average","Below Average")))</f>
        <v>Average</v>
      </c>
    </row>
    <row r="358" spans="1:17" x14ac:dyDescent="0.3">
      <c r="A358" t="s">
        <v>369</v>
      </c>
      <c r="B358" t="s">
        <v>681</v>
      </c>
      <c r="C358" t="s">
        <v>827</v>
      </c>
      <c r="D358">
        <v>20</v>
      </c>
      <c r="E358" t="s">
        <v>831</v>
      </c>
      <c r="F358" t="s">
        <v>840</v>
      </c>
      <c r="G358">
        <v>76</v>
      </c>
      <c r="H358">
        <v>4.3</v>
      </c>
      <c r="I358">
        <v>75</v>
      </c>
      <c r="J358">
        <v>57</v>
      </c>
      <c r="K358">
        <v>68</v>
      </c>
      <c r="L358">
        <v>56</v>
      </c>
      <c r="M358">
        <v>89</v>
      </c>
      <c r="N358">
        <f>SUM(Table1[[#This Row],[Math_Marks]:[Social_Marks]])</f>
        <v>345</v>
      </c>
      <c r="O358">
        <f>AVERAGE(Table1[[#This Row],[Math_Marks]:[Social_Marks]])</f>
        <v>69</v>
      </c>
      <c r="P358" t="str">
        <f>IF(Table1[[#This Row],[Total_Marks]]&gt;=400,"Top Performer","Need Improvement")</f>
        <v>Need Improvement</v>
      </c>
      <c r="Q358" t="str">
        <f>IF(Table1[[#This Row],[Total_Marks]]&gt;=400,"Excellent",IF(Table1[[#This Row],[Total_Marks]]&gt;=300,"Good",IF(Table1[[#This Row],[Total_Marks]]&gt;=200,"Average","Below Average")))</f>
        <v>Good</v>
      </c>
    </row>
    <row r="359" spans="1:17" x14ac:dyDescent="0.3">
      <c r="A359" t="s">
        <v>370</v>
      </c>
      <c r="B359" t="s">
        <v>789</v>
      </c>
      <c r="C359" t="s">
        <v>828</v>
      </c>
      <c r="D359">
        <v>21</v>
      </c>
      <c r="E359" t="s">
        <v>832</v>
      </c>
      <c r="F359" t="s">
        <v>837</v>
      </c>
      <c r="G359">
        <v>68</v>
      </c>
      <c r="H359">
        <v>5.8</v>
      </c>
      <c r="I359">
        <v>82</v>
      </c>
      <c r="J359">
        <v>76</v>
      </c>
      <c r="K359">
        <v>68</v>
      </c>
      <c r="L359">
        <v>84</v>
      </c>
      <c r="M359">
        <v>84</v>
      </c>
      <c r="N359">
        <f>SUM(Table1[[#This Row],[Math_Marks]:[Social_Marks]])</f>
        <v>394</v>
      </c>
      <c r="O359">
        <f>AVERAGE(Table1[[#This Row],[Math_Marks]:[Social_Marks]])</f>
        <v>78.8</v>
      </c>
      <c r="P359" t="str">
        <f>IF(Table1[[#This Row],[Total_Marks]]&gt;=400,"Top Performer","Need Improvement")</f>
        <v>Need Improvement</v>
      </c>
      <c r="Q359" t="str">
        <f>IF(Table1[[#This Row],[Total_Marks]]&gt;=400,"Excellent",IF(Table1[[#This Row],[Total_Marks]]&gt;=300,"Good",IF(Table1[[#This Row],[Total_Marks]]&gt;=200,"Average","Below Average")))</f>
        <v>Good</v>
      </c>
    </row>
    <row r="360" spans="1:17" x14ac:dyDescent="0.3">
      <c r="A360" t="s">
        <v>371</v>
      </c>
      <c r="B360" t="s">
        <v>790</v>
      </c>
      <c r="C360" t="s">
        <v>827</v>
      </c>
      <c r="D360">
        <v>22</v>
      </c>
      <c r="E360" t="s">
        <v>832</v>
      </c>
      <c r="F360" t="s">
        <v>836</v>
      </c>
      <c r="G360">
        <v>84</v>
      </c>
      <c r="H360">
        <v>3.3</v>
      </c>
      <c r="I360">
        <v>60</v>
      </c>
      <c r="J360">
        <v>55</v>
      </c>
      <c r="K360">
        <v>62</v>
      </c>
      <c r="L360">
        <v>61</v>
      </c>
      <c r="M360">
        <v>44</v>
      </c>
      <c r="N360">
        <f>SUM(Table1[[#This Row],[Math_Marks]:[Social_Marks]])</f>
        <v>282</v>
      </c>
      <c r="O360">
        <f>AVERAGE(Table1[[#This Row],[Math_Marks]:[Social_Marks]])</f>
        <v>56.4</v>
      </c>
      <c r="P360" t="str">
        <f>IF(Table1[[#This Row],[Total_Marks]]&gt;=400,"Top Performer","Need Improvement")</f>
        <v>Need Improvement</v>
      </c>
      <c r="Q360" t="str">
        <f>IF(Table1[[#This Row],[Total_Marks]]&gt;=400,"Excellent",IF(Table1[[#This Row],[Total_Marks]]&gt;=300,"Good",IF(Table1[[#This Row],[Total_Marks]]&gt;=200,"Average","Below Average")))</f>
        <v>Average</v>
      </c>
    </row>
    <row r="361" spans="1:17" x14ac:dyDescent="0.3">
      <c r="A361" t="s">
        <v>372</v>
      </c>
      <c r="B361" t="s">
        <v>791</v>
      </c>
      <c r="C361" t="s">
        <v>828</v>
      </c>
      <c r="D361">
        <v>20</v>
      </c>
      <c r="E361" t="s">
        <v>832</v>
      </c>
      <c r="F361" t="s">
        <v>842</v>
      </c>
      <c r="G361">
        <v>88</v>
      </c>
      <c r="H361">
        <v>4.3</v>
      </c>
      <c r="I361">
        <v>78</v>
      </c>
      <c r="J361">
        <v>77</v>
      </c>
      <c r="K361">
        <v>85</v>
      </c>
      <c r="L361">
        <v>79</v>
      </c>
      <c r="M361">
        <v>76</v>
      </c>
      <c r="N361">
        <f>SUM(Table1[[#This Row],[Math_Marks]:[Social_Marks]])</f>
        <v>395</v>
      </c>
      <c r="O361">
        <f>AVERAGE(Table1[[#This Row],[Math_Marks]:[Social_Marks]])</f>
        <v>79</v>
      </c>
      <c r="P361" t="str">
        <f>IF(Table1[[#This Row],[Total_Marks]]&gt;=400,"Top Performer","Need Improvement")</f>
        <v>Need Improvement</v>
      </c>
      <c r="Q361" t="str">
        <f>IF(Table1[[#This Row],[Total_Marks]]&gt;=400,"Excellent",IF(Table1[[#This Row],[Total_Marks]]&gt;=300,"Good",IF(Table1[[#This Row],[Total_Marks]]&gt;=200,"Average","Below Average")))</f>
        <v>Good</v>
      </c>
    </row>
    <row r="362" spans="1:17" x14ac:dyDescent="0.3">
      <c r="A362" t="s">
        <v>373</v>
      </c>
      <c r="B362" t="s">
        <v>658</v>
      </c>
      <c r="C362" t="s">
        <v>827</v>
      </c>
      <c r="D362">
        <v>19</v>
      </c>
      <c r="E362" t="s">
        <v>830</v>
      </c>
      <c r="F362" t="s">
        <v>841</v>
      </c>
      <c r="G362">
        <v>74</v>
      </c>
      <c r="H362">
        <v>4.9000000000000004</v>
      </c>
      <c r="I362">
        <v>75</v>
      </c>
      <c r="J362">
        <v>86</v>
      </c>
      <c r="K362">
        <v>60</v>
      </c>
      <c r="L362">
        <v>75</v>
      </c>
      <c r="M362">
        <v>75</v>
      </c>
      <c r="N362">
        <f>SUM(Table1[[#This Row],[Math_Marks]:[Social_Marks]])</f>
        <v>371</v>
      </c>
      <c r="O362">
        <f>AVERAGE(Table1[[#This Row],[Math_Marks]:[Social_Marks]])</f>
        <v>74.2</v>
      </c>
      <c r="P362" t="str">
        <f>IF(Table1[[#This Row],[Total_Marks]]&gt;=400,"Top Performer","Need Improvement")</f>
        <v>Need Improvement</v>
      </c>
      <c r="Q362" t="str">
        <f>IF(Table1[[#This Row],[Total_Marks]]&gt;=400,"Excellent",IF(Table1[[#This Row],[Total_Marks]]&gt;=300,"Good",IF(Table1[[#This Row],[Total_Marks]]&gt;=200,"Average","Below Average")))</f>
        <v>Good</v>
      </c>
    </row>
    <row r="363" spans="1:17" x14ac:dyDescent="0.3">
      <c r="A363" t="s">
        <v>374</v>
      </c>
      <c r="B363" t="s">
        <v>771</v>
      </c>
      <c r="C363" t="s">
        <v>828</v>
      </c>
      <c r="D363">
        <v>20</v>
      </c>
      <c r="E363" t="s">
        <v>829</v>
      </c>
      <c r="F363" t="s">
        <v>842</v>
      </c>
      <c r="G363">
        <v>78</v>
      </c>
      <c r="H363">
        <v>3.8</v>
      </c>
      <c r="I363">
        <v>43</v>
      </c>
      <c r="J363">
        <v>57</v>
      </c>
      <c r="K363">
        <v>44</v>
      </c>
      <c r="L363">
        <v>43</v>
      </c>
      <c r="M363">
        <v>60</v>
      </c>
      <c r="N363">
        <f>SUM(Table1[[#This Row],[Math_Marks]:[Social_Marks]])</f>
        <v>247</v>
      </c>
      <c r="O363">
        <f>AVERAGE(Table1[[#This Row],[Math_Marks]:[Social_Marks]])</f>
        <v>49.4</v>
      </c>
      <c r="P363" t="str">
        <f>IF(Table1[[#This Row],[Total_Marks]]&gt;=400,"Top Performer","Need Improvement")</f>
        <v>Need Improvement</v>
      </c>
      <c r="Q363" t="str">
        <f>IF(Table1[[#This Row],[Total_Marks]]&gt;=400,"Excellent",IF(Table1[[#This Row],[Total_Marks]]&gt;=300,"Good",IF(Table1[[#This Row],[Total_Marks]]&gt;=200,"Average","Below Average")))</f>
        <v>Average</v>
      </c>
    </row>
    <row r="364" spans="1:17" x14ac:dyDescent="0.3">
      <c r="A364" t="s">
        <v>375</v>
      </c>
      <c r="B364" t="s">
        <v>792</v>
      </c>
      <c r="C364" t="s">
        <v>827</v>
      </c>
      <c r="D364">
        <v>19</v>
      </c>
      <c r="E364" t="s">
        <v>832</v>
      </c>
      <c r="F364" t="s">
        <v>840</v>
      </c>
      <c r="G364">
        <v>79</v>
      </c>
      <c r="H364">
        <v>2.6</v>
      </c>
      <c r="I364">
        <v>43</v>
      </c>
      <c r="J364">
        <v>47</v>
      </c>
      <c r="K364">
        <v>44</v>
      </c>
      <c r="L364">
        <v>39</v>
      </c>
      <c r="M364">
        <v>54</v>
      </c>
      <c r="N364">
        <f>SUM(Table1[[#This Row],[Math_Marks]:[Social_Marks]])</f>
        <v>227</v>
      </c>
      <c r="O364">
        <f>AVERAGE(Table1[[#This Row],[Math_Marks]:[Social_Marks]])</f>
        <v>45.4</v>
      </c>
      <c r="P364" t="str">
        <f>IF(Table1[[#This Row],[Total_Marks]]&gt;=400,"Top Performer","Need Improvement")</f>
        <v>Need Improvement</v>
      </c>
      <c r="Q364" t="str">
        <f>IF(Table1[[#This Row],[Total_Marks]]&gt;=400,"Excellent",IF(Table1[[#This Row],[Total_Marks]]&gt;=300,"Good",IF(Table1[[#This Row],[Total_Marks]]&gt;=200,"Average","Below Average")))</f>
        <v>Average</v>
      </c>
    </row>
    <row r="365" spans="1:17" x14ac:dyDescent="0.3">
      <c r="A365" t="s">
        <v>376</v>
      </c>
      <c r="B365" t="s">
        <v>768</v>
      </c>
      <c r="C365" t="s">
        <v>828</v>
      </c>
      <c r="D365">
        <v>22</v>
      </c>
      <c r="E365" t="s">
        <v>834</v>
      </c>
      <c r="F365" t="s">
        <v>840</v>
      </c>
      <c r="G365">
        <v>84</v>
      </c>
      <c r="H365">
        <v>4.3</v>
      </c>
      <c r="I365">
        <v>71</v>
      </c>
      <c r="J365">
        <v>71</v>
      </c>
      <c r="K365">
        <v>68</v>
      </c>
      <c r="L365">
        <v>63</v>
      </c>
      <c r="M365">
        <v>62</v>
      </c>
      <c r="N365">
        <f>SUM(Table1[[#This Row],[Math_Marks]:[Social_Marks]])</f>
        <v>335</v>
      </c>
      <c r="O365">
        <f>AVERAGE(Table1[[#This Row],[Math_Marks]:[Social_Marks]])</f>
        <v>67</v>
      </c>
      <c r="P365" t="str">
        <f>IF(Table1[[#This Row],[Total_Marks]]&gt;=400,"Top Performer","Need Improvement")</f>
        <v>Need Improvement</v>
      </c>
      <c r="Q365" t="str">
        <f>IF(Table1[[#This Row],[Total_Marks]]&gt;=400,"Excellent",IF(Table1[[#This Row],[Total_Marks]]&gt;=300,"Good",IF(Table1[[#This Row],[Total_Marks]]&gt;=200,"Average","Below Average")))</f>
        <v>Good</v>
      </c>
    </row>
    <row r="366" spans="1:17" x14ac:dyDescent="0.3">
      <c r="A366" t="s">
        <v>377</v>
      </c>
      <c r="B366" t="s">
        <v>618</v>
      </c>
      <c r="C366" t="s">
        <v>827</v>
      </c>
      <c r="D366">
        <v>22</v>
      </c>
      <c r="E366" t="s">
        <v>833</v>
      </c>
      <c r="F366" t="s">
        <v>839</v>
      </c>
      <c r="G366">
        <v>71</v>
      </c>
      <c r="H366">
        <v>4.5</v>
      </c>
      <c r="I366">
        <v>66</v>
      </c>
      <c r="J366">
        <v>75</v>
      </c>
      <c r="K366">
        <v>65</v>
      </c>
      <c r="L366">
        <v>71</v>
      </c>
      <c r="M366">
        <v>67</v>
      </c>
      <c r="N366">
        <f>SUM(Table1[[#This Row],[Math_Marks]:[Social_Marks]])</f>
        <v>344</v>
      </c>
      <c r="O366">
        <f>AVERAGE(Table1[[#This Row],[Math_Marks]:[Social_Marks]])</f>
        <v>68.8</v>
      </c>
      <c r="P366" t="str">
        <f>IF(Table1[[#This Row],[Total_Marks]]&gt;=400,"Top Performer","Need Improvement")</f>
        <v>Need Improvement</v>
      </c>
      <c r="Q366" t="str">
        <f>IF(Table1[[#This Row],[Total_Marks]]&gt;=400,"Excellent",IF(Table1[[#This Row],[Total_Marks]]&gt;=300,"Good",IF(Table1[[#This Row],[Total_Marks]]&gt;=200,"Average","Below Average")))</f>
        <v>Good</v>
      </c>
    </row>
    <row r="367" spans="1:17" x14ac:dyDescent="0.3">
      <c r="A367" t="s">
        <v>378</v>
      </c>
      <c r="B367" t="s">
        <v>779</v>
      </c>
      <c r="C367" t="s">
        <v>827</v>
      </c>
      <c r="D367">
        <v>20</v>
      </c>
      <c r="E367" t="s">
        <v>832</v>
      </c>
      <c r="F367" t="s">
        <v>838</v>
      </c>
      <c r="G367">
        <v>79</v>
      </c>
      <c r="H367">
        <v>2.8</v>
      </c>
      <c r="I367">
        <v>53</v>
      </c>
      <c r="J367">
        <v>58</v>
      </c>
      <c r="K367">
        <v>53</v>
      </c>
      <c r="L367">
        <v>69</v>
      </c>
      <c r="M367">
        <v>62</v>
      </c>
      <c r="N367">
        <f>SUM(Table1[[#This Row],[Math_Marks]:[Social_Marks]])</f>
        <v>295</v>
      </c>
      <c r="O367">
        <f>AVERAGE(Table1[[#This Row],[Math_Marks]:[Social_Marks]])</f>
        <v>59</v>
      </c>
      <c r="P367" t="str">
        <f>IF(Table1[[#This Row],[Total_Marks]]&gt;=400,"Top Performer","Need Improvement")</f>
        <v>Need Improvement</v>
      </c>
      <c r="Q367" t="str">
        <f>IF(Table1[[#This Row],[Total_Marks]]&gt;=400,"Excellent",IF(Table1[[#This Row],[Total_Marks]]&gt;=300,"Good",IF(Table1[[#This Row],[Total_Marks]]&gt;=200,"Average","Below Average")))</f>
        <v>Average</v>
      </c>
    </row>
    <row r="368" spans="1:17" x14ac:dyDescent="0.3">
      <c r="A368" t="s">
        <v>379</v>
      </c>
      <c r="B368" t="s">
        <v>632</v>
      </c>
      <c r="C368" t="s">
        <v>828</v>
      </c>
      <c r="D368">
        <v>20</v>
      </c>
      <c r="E368" t="s">
        <v>832</v>
      </c>
      <c r="F368" t="s">
        <v>837</v>
      </c>
      <c r="G368">
        <v>74</v>
      </c>
      <c r="H368">
        <v>5.5</v>
      </c>
      <c r="I368">
        <v>74</v>
      </c>
      <c r="J368">
        <v>77</v>
      </c>
      <c r="K368">
        <v>86</v>
      </c>
      <c r="L368">
        <v>73</v>
      </c>
      <c r="M368">
        <v>71</v>
      </c>
      <c r="N368">
        <f>SUM(Table1[[#This Row],[Math_Marks]:[Social_Marks]])</f>
        <v>381</v>
      </c>
      <c r="O368">
        <f>AVERAGE(Table1[[#This Row],[Math_Marks]:[Social_Marks]])</f>
        <v>76.2</v>
      </c>
      <c r="P368" t="str">
        <f>IF(Table1[[#This Row],[Total_Marks]]&gt;=400,"Top Performer","Need Improvement")</f>
        <v>Need Improvement</v>
      </c>
      <c r="Q368" t="str">
        <f>IF(Table1[[#This Row],[Total_Marks]]&gt;=400,"Excellent",IF(Table1[[#This Row],[Total_Marks]]&gt;=300,"Good",IF(Table1[[#This Row],[Total_Marks]]&gt;=200,"Average","Below Average")))</f>
        <v>Good</v>
      </c>
    </row>
    <row r="369" spans="1:17" x14ac:dyDescent="0.3">
      <c r="A369" t="s">
        <v>380</v>
      </c>
      <c r="B369" t="s">
        <v>671</v>
      </c>
      <c r="C369" t="s">
        <v>827</v>
      </c>
      <c r="D369">
        <v>22</v>
      </c>
      <c r="E369" t="s">
        <v>834</v>
      </c>
      <c r="F369" t="s">
        <v>835</v>
      </c>
      <c r="G369">
        <v>82</v>
      </c>
      <c r="H369">
        <v>4.0999999999999996</v>
      </c>
      <c r="I369">
        <v>57</v>
      </c>
      <c r="J369">
        <v>56</v>
      </c>
      <c r="K369">
        <v>61</v>
      </c>
      <c r="L369">
        <v>60</v>
      </c>
      <c r="M369">
        <v>63</v>
      </c>
      <c r="N369">
        <f>SUM(Table1[[#This Row],[Math_Marks]:[Social_Marks]])</f>
        <v>297</v>
      </c>
      <c r="O369">
        <f>AVERAGE(Table1[[#This Row],[Math_Marks]:[Social_Marks]])</f>
        <v>59.4</v>
      </c>
      <c r="P369" t="str">
        <f>IF(Table1[[#This Row],[Total_Marks]]&gt;=400,"Top Performer","Need Improvement")</f>
        <v>Need Improvement</v>
      </c>
      <c r="Q369" t="str">
        <f>IF(Table1[[#This Row],[Total_Marks]]&gt;=400,"Excellent",IF(Table1[[#This Row],[Total_Marks]]&gt;=300,"Good",IF(Table1[[#This Row],[Total_Marks]]&gt;=200,"Average","Below Average")))</f>
        <v>Average</v>
      </c>
    </row>
    <row r="370" spans="1:17" x14ac:dyDescent="0.3">
      <c r="A370" t="s">
        <v>381</v>
      </c>
      <c r="B370" t="s">
        <v>793</v>
      </c>
      <c r="C370" t="s">
        <v>828</v>
      </c>
      <c r="D370">
        <v>20</v>
      </c>
      <c r="E370" t="s">
        <v>831</v>
      </c>
      <c r="F370" t="s">
        <v>839</v>
      </c>
      <c r="G370">
        <v>70</v>
      </c>
      <c r="H370">
        <v>3.1</v>
      </c>
      <c r="I370">
        <v>68</v>
      </c>
      <c r="J370">
        <v>57</v>
      </c>
      <c r="K370">
        <v>64</v>
      </c>
      <c r="L370">
        <v>81</v>
      </c>
      <c r="M370">
        <v>63</v>
      </c>
      <c r="N370">
        <f>SUM(Table1[[#This Row],[Math_Marks]:[Social_Marks]])</f>
        <v>333</v>
      </c>
      <c r="O370">
        <f>AVERAGE(Table1[[#This Row],[Math_Marks]:[Social_Marks]])</f>
        <v>66.599999999999994</v>
      </c>
      <c r="P370" t="str">
        <f>IF(Table1[[#This Row],[Total_Marks]]&gt;=400,"Top Performer","Need Improvement")</f>
        <v>Need Improvement</v>
      </c>
      <c r="Q370" t="str">
        <f>IF(Table1[[#This Row],[Total_Marks]]&gt;=400,"Excellent",IF(Table1[[#This Row],[Total_Marks]]&gt;=300,"Good",IF(Table1[[#This Row],[Total_Marks]]&gt;=200,"Average","Below Average")))</f>
        <v>Good</v>
      </c>
    </row>
    <row r="371" spans="1:17" x14ac:dyDescent="0.3">
      <c r="A371" t="s">
        <v>382</v>
      </c>
      <c r="B371" t="s">
        <v>726</v>
      </c>
      <c r="C371" t="s">
        <v>827</v>
      </c>
      <c r="D371">
        <v>18</v>
      </c>
      <c r="E371" t="s">
        <v>830</v>
      </c>
      <c r="F371" t="s">
        <v>841</v>
      </c>
      <c r="G371">
        <v>80</v>
      </c>
      <c r="H371">
        <v>3.8</v>
      </c>
      <c r="I371">
        <v>46</v>
      </c>
      <c r="J371">
        <v>53</v>
      </c>
      <c r="K371">
        <v>52</v>
      </c>
      <c r="L371">
        <v>49</v>
      </c>
      <c r="M371">
        <v>52</v>
      </c>
      <c r="N371">
        <f>SUM(Table1[[#This Row],[Math_Marks]:[Social_Marks]])</f>
        <v>252</v>
      </c>
      <c r="O371">
        <f>AVERAGE(Table1[[#This Row],[Math_Marks]:[Social_Marks]])</f>
        <v>50.4</v>
      </c>
      <c r="P371" t="str">
        <f>IF(Table1[[#This Row],[Total_Marks]]&gt;=400,"Top Performer","Need Improvement")</f>
        <v>Need Improvement</v>
      </c>
      <c r="Q371" t="str">
        <f>IF(Table1[[#This Row],[Total_Marks]]&gt;=400,"Excellent",IF(Table1[[#This Row],[Total_Marks]]&gt;=300,"Good",IF(Table1[[#This Row],[Total_Marks]]&gt;=200,"Average","Below Average")))</f>
        <v>Average</v>
      </c>
    </row>
    <row r="372" spans="1:17" x14ac:dyDescent="0.3">
      <c r="A372" t="s">
        <v>383</v>
      </c>
      <c r="B372" t="s">
        <v>703</v>
      </c>
      <c r="C372" t="s">
        <v>827</v>
      </c>
      <c r="D372">
        <v>20</v>
      </c>
      <c r="E372" t="s">
        <v>829</v>
      </c>
      <c r="F372" t="s">
        <v>842</v>
      </c>
      <c r="G372">
        <v>85</v>
      </c>
      <c r="H372">
        <v>3</v>
      </c>
      <c r="I372">
        <v>69</v>
      </c>
      <c r="J372">
        <v>73</v>
      </c>
      <c r="K372">
        <v>71</v>
      </c>
      <c r="L372">
        <v>70</v>
      </c>
      <c r="M372">
        <v>65</v>
      </c>
      <c r="N372">
        <f>SUM(Table1[[#This Row],[Math_Marks]:[Social_Marks]])</f>
        <v>348</v>
      </c>
      <c r="O372">
        <f>AVERAGE(Table1[[#This Row],[Math_Marks]:[Social_Marks]])</f>
        <v>69.599999999999994</v>
      </c>
      <c r="P372" t="str">
        <f>IF(Table1[[#This Row],[Total_Marks]]&gt;=400,"Top Performer","Need Improvement")</f>
        <v>Need Improvement</v>
      </c>
      <c r="Q372" t="str">
        <f>IF(Table1[[#This Row],[Total_Marks]]&gt;=400,"Excellent",IF(Table1[[#This Row],[Total_Marks]]&gt;=300,"Good",IF(Table1[[#This Row],[Total_Marks]]&gt;=200,"Average","Below Average")))</f>
        <v>Good</v>
      </c>
    </row>
    <row r="373" spans="1:17" x14ac:dyDescent="0.3">
      <c r="A373" t="s">
        <v>384</v>
      </c>
      <c r="B373" t="s">
        <v>720</v>
      </c>
      <c r="C373" t="s">
        <v>827</v>
      </c>
      <c r="D373">
        <v>21</v>
      </c>
      <c r="E373" t="s">
        <v>833</v>
      </c>
      <c r="F373" t="s">
        <v>839</v>
      </c>
      <c r="G373">
        <v>76</v>
      </c>
      <c r="H373">
        <v>4.0999999999999996</v>
      </c>
      <c r="I373">
        <v>60</v>
      </c>
      <c r="J373">
        <v>66</v>
      </c>
      <c r="K373">
        <v>66</v>
      </c>
      <c r="L373">
        <v>49</v>
      </c>
      <c r="M373">
        <v>65</v>
      </c>
      <c r="N373">
        <f>SUM(Table1[[#This Row],[Math_Marks]:[Social_Marks]])</f>
        <v>306</v>
      </c>
      <c r="O373">
        <f>AVERAGE(Table1[[#This Row],[Math_Marks]:[Social_Marks]])</f>
        <v>61.2</v>
      </c>
      <c r="P373" t="str">
        <f>IF(Table1[[#This Row],[Total_Marks]]&gt;=400,"Top Performer","Need Improvement")</f>
        <v>Need Improvement</v>
      </c>
      <c r="Q373" t="str">
        <f>IF(Table1[[#This Row],[Total_Marks]]&gt;=400,"Excellent",IF(Table1[[#This Row],[Total_Marks]]&gt;=300,"Good",IF(Table1[[#This Row],[Total_Marks]]&gt;=200,"Average","Below Average")))</f>
        <v>Good</v>
      </c>
    </row>
    <row r="374" spans="1:17" x14ac:dyDescent="0.3">
      <c r="A374" t="s">
        <v>385</v>
      </c>
      <c r="B374" t="s">
        <v>794</v>
      </c>
      <c r="C374" t="s">
        <v>828</v>
      </c>
      <c r="D374">
        <v>21</v>
      </c>
      <c r="E374" t="s">
        <v>830</v>
      </c>
      <c r="F374" t="s">
        <v>839</v>
      </c>
      <c r="G374">
        <v>71</v>
      </c>
      <c r="H374">
        <v>2.6</v>
      </c>
      <c r="I374">
        <v>35</v>
      </c>
      <c r="J374">
        <v>36</v>
      </c>
      <c r="K374">
        <v>35</v>
      </c>
      <c r="L374">
        <v>48</v>
      </c>
      <c r="M374">
        <v>46</v>
      </c>
      <c r="N374">
        <f>SUM(Table1[[#This Row],[Math_Marks]:[Social_Marks]])</f>
        <v>200</v>
      </c>
      <c r="O374">
        <f>AVERAGE(Table1[[#This Row],[Math_Marks]:[Social_Marks]])</f>
        <v>40</v>
      </c>
      <c r="P374" t="str">
        <f>IF(Table1[[#This Row],[Total_Marks]]&gt;=400,"Top Performer","Need Improvement")</f>
        <v>Need Improvement</v>
      </c>
      <c r="Q374" t="str">
        <f>IF(Table1[[#This Row],[Total_Marks]]&gt;=400,"Excellent",IF(Table1[[#This Row],[Total_Marks]]&gt;=300,"Good",IF(Table1[[#This Row],[Total_Marks]]&gt;=200,"Average","Below Average")))</f>
        <v>Average</v>
      </c>
    </row>
    <row r="375" spans="1:17" x14ac:dyDescent="0.3">
      <c r="A375" t="s">
        <v>386</v>
      </c>
      <c r="B375" t="s">
        <v>682</v>
      </c>
      <c r="C375" t="s">
        <v>828</v>
      </c>
      <c r="D375">
        <v>18</v>
      </c>
      <c r="E375" t="s">
        <v>831</v>
      </c>
      <c r="F375" t="s">
        <v>837</v>
      </c>
      <c r="G375">
        <v>81</v>
      </c>
      <c r="H375">
        <v>2.6</v>
      </c>
      <c r="I375">
        <v>44</v>
      </c>
      <c r="J375">
        <v>53</v>
      </c>
      <c r="K375">
        <v>65</v>
      </c>
      <c r="L375">
        <v>48</v>
      </c>
      <c r="M375">
        <v>41</v>
      </c>
      <c r="N375">
        <f>SUM(Table1[[#This Row],[Math_Marks]:[Social_Marks]])</f>
        <v>251</v>
      </c>
      <c r="O375">
        <f>AVERAGE(Table1[[#This Row],[Math_Marks]:[Social_Marks]])</f>
        <v>50.2</v>
      </c>
      <c r="P375" t="str">
        <f>IF(Table1[[#This Row],[Total_Marks]]&gt;=400,"Top Performer","Need Improvement")</f>
        <v>Need Improvement</v>
      </c>
      <c r="Q375" t="str">
        <f>IF(Table1[[#This Row],[Total_Marks]]&gt;=400,"Excellent",IF(Table1[[#This Row],[Total_Marks]]&gt;=300,"Good",IF(Table1[[#This Row],[Total_Marks]]&gt;=200,"Average","Below Average")))</f>
        <v>Average</v>
      </c>
    </row>
    <row r="376" spans="1:17" x14ac:dyDescent="0.3">
      <c r="A376" t="s">
        <v>387</v>
      </c>
      <c r="B376" t="s">
        <v>777</v>
      </c>
      <c r="C376" t="s">
        <v>828</v>
      </c>
      <c r="D376">
        <v>20</v>
      </c>
      <c r="E376" t="s">
        <v>833</v>
      </c>
      <c r="F376" t="s">
        <v>837</v>
      </c>
      <c r="G376">
        <v>86</v>
      </c>
      <c r="H376">
        <v>5</v>
      </c>
      <c r="I376">
        <v>71</v>
      </c>
      <c r="J376">
        <v>77</v>
      </c>
      <c r="K376">
        <v>74</v>
      </c>
      <c r="L376">
        <v>67</v>
      </c>
      <c r="M376">
        <v>88</v>
      </c>
      <c r="N376">
        <f>SUM(Table1[[#This Row],[Math_Marks]:[Social_Marks]])</f>
        <v>377</v>
      </c>
      <c r="O376">
        <f>AVERAGE(Table1[[#This Row],[Math_Marks]:[Social_Marks]])</f>
        <v>75.400000000000006</v>
      </c>
      <c r="P376" t="str">
        <f>IF(Table1[[#This Row],[Total_Marks]]&gt;=400,"Top Performer","Need Improvement")</f>
        <v>Need Improvement</v>
      </c>
      <c r="Q376" t="str">
        <f>IF(Table1[[#This Row],[Total_Marks]]&gt;=400,"Excellent",IF(Table1[[#This Row],[Total_Marks]]&gt;=300,"Good",IF(Table1[[#This Row],[Total_Marks]]&gt;=200,"Average","Below Average")))</f>
        <v>Good</v>
      </c>
    </row>
    <row r="377" spans="1:17" x14ac:dyDescent="0.3">
      <c r="A377" t="s">
        <v>388</v>
      </c>
      <c r="B377" t="s">
        <v>740</v>
      </c>
      <c r="C377" t="s">
        <v>828</v>
      </c>
      <c r="D377">
        <v>22</v>
      </c>
      <c r="E377" t="s">
        <v>834</v>
      </c>
      <c r="F377" t="s">
        <v>838</v>
      </c>
      <c r="G377">
        <v>93</v>
      </c>
      <c r="H377">
        <v>6</v>
      </c>
      <c r="I377">
        <v>80</v>
      </c>
      <c r="J377">
        <v>80</v>
      </c>
      <c r="K377">
        <v>71</v>
      </c>
      <c r="L377">
        <v>80</v>
      </c>
      <c r="M377">
        <v>69</v>
      </c>
      <c r="N377">
        <f>SUM(Table1[[#This Row],[Math_Marks]:[Social_Marks]])</f>
        <v>380</v>
      </c>
      <c r="O377">
        <f>AVERAGE(Table1[[#This Row],[Math_Marks]:[Social_Marks]])</f>
        <v>76</v>
      </c>
      <c r="P377" t="str">
        <f>IF(Table1[[#This Row],[Total_Marks]]&gt;=400,"Top Performer","Need Improvement")</f>
        <v>Need Improvement</v>
      </c>
      <c r="Q377" t="str">
        <f>IF(Table1[[#This Row],[Total_Marks]]&gt;=400,"Excellent",IF(Table1[[#This Row],[Total_Marks]]&gt;=300,"Good",IF(Table1[[#This Row],[Total_Marks]]&gt;=200,"Average","Below Average")))</f>
        <v>Good</v>
      </c>
    </row>
    <row r="378" spans="1:17" x14ac:dyDescent="0.3">
      <c r="A378" t="s">
        <v>389</v>
      </c>
      <c r="B378" t="s">
        <v>616</v>
      </c>
      <c r="C378" t="s">
        <v>827</v>
      </c>
      <c r="D378">
        <v>19</v>
      </c>
      <c r="E378" t="s">
        <v>829</v>
      </c>
      <c r="F378" t="s">
        <v>838</v>
      </c>
      <c r="G378">
        <v>75</v>
      </c>
      <c r="H378">
        <v>2.7</v>
      </c>
      <c r="I378">
        <v>60</v>
      </c>
      <c r="J378">
        <v>46</v>
      </c>
      <c r="K378">
        <v>57</v>
      </c>
      <c r="L378">
        <v>60</v>
      </c>
      <c r="M378">
        <v>53</v>
      </c>
      <c r="N378">
        <f>SUM(Table1[[#This Row],[Math_Marks]:[Social_Marks]])</f>
        <v>276</v>
      </c>
      <c r="O378">
        <f>AVERAGE(Table1[[#This Row],[Math_Marks]:[Social_Marks]])</f>
        <v>55.2</v>
      </c>
      <c r="P378" t="str">
        <f>IF(Table1[[#This Row],[Total_Marks]]&gt;=400,"Top Performer","Need Improvement")</f>
        <v>Need Improvement</v>
      </c>
      <c r="Q378" t="str">
        <f>IF(Table1[[#This Row],[Total_Marks]]&gt;=400,"Excellent",IF(Table1[[#This Row],[Total_Marks]]&gt;=300,"Good",IF(Table1[[#This Row],[Total_Marks]]&gt;=200,"Average","Below Average")))</f>
        <v>Average</v>
      </c>
    </row>
    <row r="379" spans="1:17" x14ac:dyDescent="0.3">
      <c r="A379" t="s">
        <v>390</v>
      </c>
      <c r="B379" t="s">
        <v>674</v>
      </c>
      <c r="C379" t="s">
        <v>828</v>
      </c>
      <c r="D379">
        <v>22</v>
      </c>
      <c r="E379" t="s">
        <v>833</v>
      </c>
      <c r="F379" t="s">
        <v>836</v>
      </c>
      <c r="G379">
        <v>73</v>
      </c>
      <c r="H379">
        <v>5.3</v>
      </c>
      <c r="I379">
        <v>66</v>
      </c>
      <c r="J379">
        <v>62</v>
      </c>
      <c r="K379">
        <v>54</v>
      </c>
      <c r="L379">
        <v>58</v>
      </c>
      <c r="M379">
        <v>74</v>
      </c>
      <c r="N379">
        <f>SUM(Table1[[#This Row],[Math_Marks]:[Social_Marks]])</f>
        <v>314</v>
      </c>
      <c r="O379">
        <f>AVERAGE(Table1[[#This Row],[Math_Marks]:[Social_Marks]])</f>
        <v>62.8</v>
      </c>
      <c r="P379" t="str">
        <f>IF(Table1[[#This Row],[Total_Marks]]&gt;=400,"Top Performer","Need Improvement")</f>
        <v>Need Improvement</v>
      </c>
      <c r="Q379" t="str">
        <f>IF(Table1[[#This Row],[Total_Marks]]&gt;=400,"Excellent",IF(Table1[[#This Row],[Total_Marks]]&gt;=300,"Good",IF(Table1[[#This Row],[Total_Marks]]&gt;=200,"Average","Below Average")))</f>
        <v>Good</v>
      </c>
    </row>
    <row r="380" spans="1:17" x14ac:dyDescent="0.3">
      <c r="A380" t="s">
        <v>391</v>
      </c>
      <c r="B380" t="s">
        <v>746</v>
      </c>
      <c r="C380" t="s">
        <v>827</v>
      </c>
      <c r="D380">
        <v>20</v>
      </c>
      <c r="E380" t="s">
        <v>833</v>
      </c>
      <c r="F380" t="s">
        <v>836</v>
      </c>
      <c r="G380">
        <v>80</v>
      </c>
      <c r="H380">
        <v>8</v>
      </c>
      <c r="I380">
        <v>80</v>
      </c>
      <c r="J380">
        <v>94</v>
      </c>
      <c r="K380">
        <v>68</v>
      </c>
      <c r="L380">
        <v>83</v>
      </c>
      <c r="M380">
        <v>98</v>
      </c>
      <c r="N380">
        <f>SUM(Table1[[#This Row],[Math_Marks]:[Social_Marks]])</f>
        <v>423</v>
      </c>
      <c r="O380">
        <f>AVERAGE(Table1[[#This Row],[Math_Marks]:[Social_Marks]])</f>
        <v>84.6</v>
      </c>
      <c r="P380" t="str">
        <f>IF(Table1[[#This Row],[Total_Marks]]&gt;=400,"Top Performer","Need Improvement")</f>
        <v>Top Performer</v>
      </c>
      <c r="Q380" t="str">
        <f>IF(Table1[[#This Row],[Total_Marks]]&gt;=400,"Excellent",IF(Table1[[#This Row],[Total_Marks]]&gt;=300,"Good",IF(Table1[[#This Row],[Total_Marks]]&gt;=200,"Average","Below Average")))</f>
        <v>Excellent</v>
      </c>
    </row>
    <row r="381" spans="1:17" x14ac:dyDescent="0.3">
      <c r="A381" t="s">
        <v>392</v>
      </c>
      <c r="B381" t="s">
        <v>716</v>
      </c>
      <c r="C381" t="s">
        <v>827</v>
      </c>
      <c r="D381">
        <v>19</v>
      </c>
      <c r="E381" t="s">
        <v>831</v>
      </c>
      <c r="F381" t="s">
        <v>838</v>
      </c>
      <c r="G381">
        <v>95</v>
      </c>
      <c r="H381">
        <v>4.4000000000000004</v>
      </c>
      <c r="I381">
        <v>58</v>
      </c>
      <c r="J381">
        <v>59</v>
      </c>
      <c r="K381">
        <v>67</v>
      </c>
      <c r="L381">
        <v>74</v>
      </c>
      <c r="M381">
        <v>72</v>
      </c>
      <c r="N381">
        <f>SUM(Table1[[#This Row],[Math_Marks]:[Social_Marks]])</f>
        <v>330</v>
      </c>
      <c r="O381">
        <f>AVERAGE(Table1[[#This Row],[Math_Marks]:[Social_Marks]])</f>
        <v>66</v>
      </c>
      <c r="P381" t="str">
        <f>IF(Table1[[#This Row],[Total_Marks]]&gt;=400,"Top Performer","Need Improvement")</f>
        <v>Need Improvement</v>
      </c>
      <c r="Q381" t="str">
        <f>IF(Table1[[#This Row],[Total_Marks]]&gt;=400,"Excellent",IF(Table1[[#This Row],[Total_Marks]]&gt;=300,"Good",IF(Table1[[#This Row],[Total_Marks]]&gt;=200,"Average","Below Average")))</f>
        <v>Good</v>
      </c>
    </row>
    <row r="382" spans="1:17" x14ac:dyDescent="0.3">
      <c r="A382" t="s">
        <v>393</v>
      </c>
      <c r="B382" t="s">
        <v>795</v>
      </c>
      <c r="C382" t="s">
        <v>828</v>
      </c>
      <c r="D382">
        <v>20</v>
      </c>
      <c r="E382" t="s">
        <v>829</v>
      </c>
      <c r="F382" t="s">
        <v>840</v>
      </c>
      <c r="G382">
        <v>86</v>
      </c>
      <c r="H382">
        <v>1.8</v>
      </c>
      <c r="I382">
        <v>58</v>
      </c>
      <c r="J382">
        <v>46</v>
      </c>
      <c r="K382">
        <v>47</v>
      </c>
      <c r="L382">
        <v>55</v>
      </c>
      <c r="M382">
        <v>60</v>
      </c>
      <c r="N382">
        <f>SUM(Table1[[#This Row],[Math_Marks]:[Social_Marks]])</f>
        <v>266</v>
      </c>
      <c r="O382">
        <f>AVERAGE(Table1[[#This Row],[Math_Marks]:[Social_Marks]])</f>
        <v>53.2</v>
      </c>
      <c r="P382" t="str">
        <f>IF(Table1[[#This Row],[Total_Marks]]&gt;=400,"Top Performer","Need Improvement")</f>
        <v>Need Improvement</v>
      </c>
      <c r="Q382" t="str">
        <f>IF(Table1[[#This Row],[Total_Marks]]&gt;=400,"Excellent",IF(Table1[[#This Row],[Total_Marks]]&gt;=300,"Good",IF(Table1[[#This Row],[Total_Marks]]&gt;=200,"Average","Below Average")))</f>
        <v>Average</v>
      </c>
    </row>
    <row r="383" spans="1:17" x14ac:dyDescent="0.3">
      <c r="A383" t="s">
        <v>394</v>
      </c>
      <c r="B383" t="s">
        <v>638</v>
      </c>
      <c r="C383" t="s">
        <v>827</v>
      </c>
      <c r="D383">
        <v>18</v>
      </c>
      <c r="E383" t="s">
        <v>834</v>
      </c>
      <c r="F383" t="s">
        <v>835</v>
      </c>
      <c r="G383">
        <v>75</v>
      </c>
      <c r="H383">
        <v>2.2000000000000002</v>
      </c>
      <c r="I383">
        <v>56</v>
      </c>
      <c r="J383">
        <v>55</v>
      </c>
      <c r="K383">
        <v>36</v>
      </c>
      <c r="L383">
        <v>46</v>
      </c>
      <c r="M383">
        <v>62</v>
      </c>
      <c r="N383">
        <f>SUM(Table1[[#This Row],[Math_Marks]:[Social_Marks]])</f>
        <v>255</v>
      </c>
      <c r="O383">
        <f>AVERAGE(Table1[[#This Row],[Math_Marks]:[Social_Marks]])</f>
        <v>51</v>
      </c>
      <c r="P383" t="str">
        <f>IF(Table1[[#This Row],[Total_Marks]]&gt;=400,"Top Performer","Need Improvement")</f>
        <v>Need Improvement</v>
      </c>
      <c r="Q383" t="str">
        <f>IF(Table1[[#This Row],[Total_Marks]]&gt;=400,"Excellent",IF(Table1[[#This Row],[Total_Marks]]&gt;=300,"Good",IF(Table1[[#This Row],[Total_Marks]]&gt;=200,"Average","Below Average")))</f>
        <v>Average</v>
      </c>
    </row>
    <row r="384" spans="1:17" x14ac:dyDescent="0.3">
      <c r="A384" t="s">
        <v>395</v>
      </c>
      <c r="B384" t="s">
        <v>738</v>
      </c>
      <c r="C384" t="s">
        <v>828</v>
      </c>
      <c r="D384">
        <v>18</v>
      </c>
      <c r="E384" t="s">
        <v>829</v>
      </c>
      <c r="F384" t="s">
        <v>841</v>
      </c>
      <c r="G384">
        <v>81</v>
      </c>
      <c r="H384">
        <v>4.4000000000000004</v>
      </c>
      <c r="I384">
        <v>66</v>
      </c>
      <c r="J384">
        <v>63</v>
      </c>
      <c r="K384">
        <v>86</v>
      </c>
      <c r="L384">
        <v>77</v>
      </c>
      <c r="M384">
        <v>76</v>
      </c>
      <c r="N384">
        <f>SUM(Table1[[#This Row],[Math_Marks]:[Social_Marks]])</f>
        <v>368</v>
      </c>
      <c r="O384">
        <f>AVERAGE(Table1[[#This Row],[Math_Marks]:[Social_Marks]])</f>
        <v>73.599999999999994</v>
      </c>
      <c r="P384" t="str">
        <f>IF(Table1[[#This Row],[Total_Marks]]&gt;=400,"Top Performer","Need Improvement")</f>
        <v>Need Improvement</v>
      </c>
      <c r="Q384" t="str">
        <f>IF(Table1[[#This Row],[Total_Marks]]&gt;=400,"Excellent",IF(Table1[[#This Row],[Total_Marks]]&gt;=300,"Good",IF(Table1[[#This Row],[Total_Marks]]&gt;=200,"Average","Below Average")))</f>
        <v>Good</v>
      </c>
    </row>
    <row r="385" spans="1:17" x14ac:dyDescent="0.3">
      <c r="A385" t="s">
        <v>396</v>
      </c>
      <c r="B385" t="s">
        <v>748</v>
      </c>
      <c r="C385" t="s">
        <v>827</v>
      </c>
      <c r="D385">
        <v>21</v>
      </c>
      <c r="E385" t="s">
        <v>833</v>
      </c>
      <c r="F385" t="s">
        <v>841</v>
      </c>
      <c r="G385">
        <v>74</v>
      </c>
      <c r="H385">
        <v>4.2</v>
      </c>
      <c r="I385">
        <v>36</v>
      </c>
      <c r="J385">
        <v>55</v>
      </c>
      <c r="K385">
        <v>46</v>
      </c>
      <c r="L385">
        <v>37</v>
      </c>
      <c r="M385">
        <v>57</v>
      </c>
      <c r="N385">
        <f>SUM(Table1[[#This Row],[Math_Marks]:[Social_Marks]])</f>
        <v>231</v>
      </c>
      <c r="O385">
        <f>AVERAGE(Table1[[#This Row],[Math_Marks]:[Social_Marks]])</f>
        <v>46.2</v>
      </c>
      <c r="P385" t="str">
        <f>IF(Table1[[#This Row],[Total_Marks]]&gt;=400,"Top Performer","Need Improvement")</f>
        <v>Need Improvement</v>
      </c>
      <c r="Q385" t="str">
        <f>IF(Table1[[#This Row],[Total_Marks]]&gt;=400,"Excellent",IF(Table1[[#This Row],[Total_Marks]]&gt;=300,"Good",IF(Table1[[#This Row],[Total_Marks]]&gt;=200,"Average","Below Average")))</f>
        <v>Average</v>
      </c>
    </row>
    <row r="386" spans="1:17" x14ac:dyDescent="0.3">
      <c r="A386" t="s">
        <v>397</v>
      </c>
      <c r="B386" t="s">
        <v>796</v>
      </c>
      <c r="C386" t="s">
        <v>827</v>
      </c>
      <c r="D386">
        <v>21</v>
      </c>
      <c r="E386" t="s">
        <v>829</v>
      </c>
      <c r="F386" t="s">
        <v>838</v>
      </c>
      <c r="G386">
        <v>82</v>
      </c>
      <c r="H386">
        <v>5.0999999999999996</v>
      </c>
      <c r="I386">
        <v>75</v>
      </c>
      <c r="J386">
        <v>78</v>
      </c>
      <c r="K386">
        <v>80</v>
      </c>
      <c r="L386">
        <v>82</v>
      </c>
      <c r="M386">
        <v>76</v>
      </c>
      <c r="N386">
        <f>SUM(Table1[[#This Row],[Math_Marks]:[Social_Marks]])</f>
        <v>391</v>
      </c>
      <c r="O386">
        <f>AVERAGE(Table1[[#This Row],[Math_Marks]:[Social_Marks]])</f>
        <v>78.2</v>
      </c>
      <c r="P386" t="str">
        <f>IF(Table1[[#This Row],[Total_Marks]]&gt;=400,"Top Performer","Need Improvement")</f>
        <v>Need Improvement</v>
      </c>
      <c r="Q386" t="str">
        <f>IF(Table1[[#This Row],[Total_Marks]]&gt;=400,"Excellent",IF(Table1[[#This Row],[Total_Marks]]&gt;=300,"Good",IF(Table1[[#This Row],[Total_Marks]]&gt;=200,"Average","Below Average")))</f>
        <v>Good</v>
      </c>
    </row>
    <row r="387" spans="1:17" x14ac:dyDescent="0.3">
      <c r="A387" t="s">
        <v>398</v>
      </c>
      <c r="B387" t="s">
        <v>635</v>
      </c>
      <c r="C387" t="s">
        <v>828</v>
      </c>
      <c r="D387">
        <v>20</v>
      </c>
      <c r="E387" t="s">
        <v>833</v>
      </c>
      <c r="F387" t="s">
        <v>841</v>
      </c>
      <c r="G387">
        <v>92</v>
      </c>
      <c r="H387">
        <v>4.5</v>
      </c>
      <c r="I387">
        <v>78</v>
      </c>
      <c r="J387">
        <v>94</v>
      </c>
      <c r="K387">
        <v>86</v>
      </c>
      <c r="L387">
        <v>98</v>
      </c>
      <c r="M387">
        <v>72</v>
      </c>
      <c r="N387">
        <f>SUM(Table1[[#This Row],[Math_Marks]:[Social_Marks]])</f>
        <v>428</v>
      </c>
      <c r="O387">
        <f>AVERAGE(Table1[[#This Row],[Math_Marks]:[Social_Marks]])</f>
        <v>85.6</v>
      </c>
      <c r="P387" t="str">
        <f>IF(Table1[[#This Row],[Total_Marks]]&gt;=400,"Top Performer","Need Improvement")</f>
        <v>Top Performer</v>
      </c>
      <c r="Q387" t="str">
        <f>IF(Table1[[#This Row],[Total_Marks]]&gt;=400,"Excellent",IF(Table1[[#This Row],[Total_Marks]]&gt;=300,"Good",IF(Table1[[#This Row],[Total_Marks]]&gt;=200,"Average","Below Average")))</f>
        <v>Excellent</v>
      </c>
    </row>
    <row r="388" spans="1:17" x14ac:dyDescent="0.3">
      <c r="A388" t="s">
        <v>399</v>
      </c>
      <c r="B388" t="s">
        <v>791</v>
      </c>
      <c r="C388" t="s">
        <v>828</v>
      </c>
      <c r="D388">
        <v>19</v>
      </c>
      <c r="E388" t="s">
        <v>830</v>
      </c>
      <c r="F388" t="s">
        <v>838</v>
      </c>
      <c r="G388">
        <v>99</v>
      </c>
      <c r="H388">
        <v>2.8</v>
      </c>
      <c r="I388">
        <v>80</v>
      </c>
      <c r="J388">
        <v>76</v>
      </c>
      <c r="K388">
        <v>63</v>
      </c>
      <c r="L388">
        <v>82</v>
      </c>
      <c r="M388">
        <v>80</v>
      </c>
      <c r="N388">
        <f>SUM(Table1[[#This Row],[Math_Marks]:[Social_Marks]])</f>
        <v>381</v>
      </c>
      <c r="O388">
        <f>AVERAGE(Table1[[#This Row],[Math_Marks]:[Social_Marks]])</f>
        <v>76.2</v>
      </c>
      <c r="P388" t="str">
        <f>IF(Table1[[#This Row],[Total_Marks]]&gt;=400,"Top Performer","Need Improvement")</f>
        <v>Need Improvement</v>
      </c>
      <c r="Q388" t="str">
        <f>IF(Table1[[#This Row],[Total_Marks]]&gt;=400,"Excellent",IF(Table1[[#This Row],[Total_Marks]]&gt;=300,"Good",IF(Table1[[#This Row],[Total_Marks]]&gt;=200,"Average","Below Average")))</f>
        <v>Good</v>
      </c>
    </row>
    <row r="389" spans="1:17" x14ac:dyDescent="0.3">
      <c r="A389" t="s">
        <v>400</v>
      </c>
      <c r="B389" t="s">
        <v>748</v>
      </c>
      <c r="C389" t="s">
        <v>828</v>
      </c>
      <c r="D389">
        <v>22</v>
      </c>
      <c r="E389" t="s">
        <v>833</v>
      </c>
      <c r="F389" t="s">
        <v>838</v>
      </c>
      <c r="G389">
        <v>81</v>
      </c>
      <c r="H389">
        <v>4.8</v>
      </c>
      <c r="I389">
        <v>61</v>
      </c>
      <c r="J389">
        <v>60</v>
      </c>
      <c r="K389">
        <v>62</v>
      </c>
      <c r="L389">
        <v>70</v>
      </c>
      <c r="M389">
        <v>68</v>
      </c>
      <c r="N389">
        <f>SUM(Table1[[#This Row],[Math_Marks]:[Social_Marks]])</f>
        <v>321</v>
      </c>
      <c r="O389">
        <f>AVERAGE(Table1[[#This Row],[Math_Marks]:[Social_Marks]])</f>
        <v>64.2</v>
      </c>
      <c r="P389" t="str">
        <f>IF(Table1[[#This Row],[Total_Marks]]&gt;=400,"Top Performer","Need Improvement")</f>
        <v>Need Improvement</v>
      </c>
      <c r="Q389" t="str">
        <f>IF(Table1[[#This Row],[Total_Marks]]&gt;=400,"Excellent",IF(Table1[[#This Row],[Total_Marks]]&gt;=300,"Good",IF(Table1[[#This Row],[Total_Marks]]&gt;=200,"Average","Below Average")))</f>
        <v>Good</v>
      </c>
    </row>
    <row r="390" spans="1:17" x14ac:dyDescent="0.3">
      <c r="A390" t="s">
        <v>401</v>
      </c>
      <c r="B390" t="s">
        <v>797</v>
      </c>
      <c r="C390" t="s">
        <v>828</v>
      </c>
      <c r="D390">
        <v>20</v>
      </c>
      <c r="E390" t="s">
        <v>834</v>
      </c>
      <c r="F390" t="s">
        <v>836</v>
      </c>
      <c r="G390">
        <v>95</v>
      </c>
      <c r="H390">
        <v>3.4</v>
      </c>
      <c r="I390">
        <v>66</v>
      </c>
      <c r="J390">
        <v>48</v>
      </c>
      <c r="K390">
        <v>56</v>
      </c>
      <c r="L390">
        <v>70</v>
      </c>
      <c r="M390">
        <v>49</v>
      </c>
      <c r="N390">
        <f>SUM(Table1[[#This Row],[Math_Marks]:[Social_Marks]])</f>
        <v>289</v>
      </c>
      <c r="O390">
        <f>AVERAGE(Table1[[#This Row],[Math_Marks]:[Social_Marks]])</f>
        <v>57.8</v>
      </c>
      <c r="P390" t="str">
        <f>IF(Table1[[#This Row],[Total_Marks]]&gt;=400,"Top Performer","Need Improvement")</f>
        <v>Need Improvement</v>
      </c>
      <c r="Q390" t="str">
        <f>IF(Table1[[#This Row],[Total_Marks]]&gt;=400,"Excellent",IF(Table1[[#This Row],[Total_Marks]]&gt;=300,"Good",IF(Table1[[#This Row],[Total_Marks]]&gt;=200,"Average","Below Average")))</f>
        <v>Average</v>
      </c>
    </row>
    <row r="391" spans="1:17" x14ac:dyDescent="0.3">
      <c r="A391" t="s">
        <v>402</v>
      </c>
      <c r="B391" t="s">
        <v>731</v>
      </c>
      <c r="C391" t="s">
        <v>828</v>
      </c>
      <c r="D391">
        <v>21</v>
      </c>
      <c r="E391" t="s">
        <v>832</v>
      </c>
      <c r="F391" t="s">
        <v>841</v>
      </c>
      <c r="G391">
        <v>84</v>
      </c>
      <c r="H391">
        <v>5.5</v>
      </c>
      <c r="I391">
        <v>75</v>
      </c>
      <c r="J391">
        <v>63</v>
      </c>
      <c r="K391">
        <v>64</v>
      </c>
      <c r="L391">
        <v>62</v>
      </c>
      <c r="M391">
        <v>71</v>
      </c>
      <c r="N391">
        <f>SUM(Table1[[#This Row],[Math_Marks]:[Social_Marks]])</f>
        <v>335</v>
      </c>
      <c r="O391">
        <f>AVERAGE(Table1[[#This Row],[Math_Marks]:[Social_Marks]])</f>
        <v>67</v>
      </c>
      <c r="P391" t="str">
        <f>IF(Table1[[#This Row],[Total_Marks]]&gt;=400,"Top Performer","Need Improvement")</f>
        <v>Need Improvement</v>
      </c>
      <c r="Q391" t="str">
        <f>IF(Table1[[#This Row],[Total_Marks]]&gt;=400,"Excellent",IF(Table1[[#This Row],[Total_Marks]]&gt;=300,"Good",IF(Table1[[#This Row],[Total_Marks]]&gt;=200,"Average","Below Average")))</f>
        <v>Good</v>
      </c>
    </row>
    <row r="392" spans="1:17" x14ac:dyDescent="0.3">
      <c r="A392" t="s">
        <v>403</v>
      </c>
      <c r="B392" t="s">
        <v>737</v>
      </c>
      <c r="C392" t="s">
        <v>828</v>
      </c>
      <c r="D392">
        <v>18</v>
      </c>
      <c r="E392" t="s">
        <v>830</v>
      </c>
      <c r="F392" t="s">
        <v>836</v>
      </c>
      <c r="G392">
        <v>72</v>
      </c>
      <c r="H392">
        <v>4.4000000000000004</v>
      </c>
      <c r="I392">
        <v>80</v>
      </c>
      <c r="J392">
        <v>74</v>
      </c>
      <c r="K392">
        <v>83</v>
      </c>
      <c r="L392">
        <v>75</v>
      </c>
      <c r="M392">
        <v>74</v>
      </c>
      <c r="N392">
        <f>SUM(Table1[[#This Row],[Math_Marks]:[Social_Marks]])</f>
        <v>386</v>
      </c>
      <c r="O392">
        <f>AVERAGE(Table1[[#This Row],[Math_Marks]:[Social_Marks]])</f>
        <v>77.2</v>
      </c>
      <c r="P392" t="str">
        <f>IF(Table1[[#This Row],[Total_Marks]]&gt;=400,"Top Performer","Need Improvement")</f>
        <v>Need Improvement</v>
      </c>
      <c r="Q392" t="str">
        <f>IF(Table1[[#This Row],[Total_Marks]]&gt;=400,"Excellent",IF(Table1[[#This Row],[Total_Marks]]&gt;=300,"Good",IF(Table1[[#This Row],[Total_Marks]]&gt;=200,"Average","Below Average")))</f>
        <v>Good</v>
      </c>
    </row>
    <row r="393" spans="1:17" x14ac:dyDescent="0.3">
      <c r="A393" t="s">
        <v>404</v>
      </c>
      <c r="B393" t="s">
        <v>732</v>
      </c>
      <c r="C393" t="s">
        <v>827</v>
      </c>
      <c r="D393">
        <v>18</v>
      </c>
      <c r="E393" t="s">
        <v>829</v>
      </c>
      <c r="F393" t="s">
        <v>835</v>
      </c>
      <c r="G393">
        <v>89</v>
      </c>
      <c r="H393">
        <v>3.1</v>
      </c>
      <c r="I393">
        <v>74</v>
      </c>
      <c r="J393">
        <v>54</v>
      </c>
      <c r="K393">
        <v>55</v>
      </c>
      <c r="L393">
        <v>59</v>
      </c>
      <c r="M393">
        <v>63</v>
      </c>
      <c r="N393">
        <f>SUM(Table1[[#This Row],[Math_Marks]:[Social_Marks]])</f>
        <v>305</v>
      </c>
      <c r="O393">
        <f>AVERAGE(Table1[[#This Row],[Math_Marks]:[Social_Marks]])</f>
        <v>61</v>
      </c>
      <c r="P393" t="str">
        <f>IF(Table1[[#This Row],[Total_Marks]]&gt;=400,"Top Performer","Need Improvement")</f>
        <v>Need Improvement</v>
      </c>
      <c r="Q393" t="str">
        <f>IF(Table1[[#This Row],[Total_Marks]]&gt;=400,"Excellent",IF(Table1[[#This Row],[Total_Marks]]&gt;=300,"Good",IF(Table1[[#This Row],[Total_Marks]]&gt;=200,"Average","Below Average")))</f>
        <v>Good</v>
      </c>
    </row>
    <row r="394" spans="1:17" x14ac:dyDescent="0.3">
      <c r="A394" t="s">
        <v>405</v>
      </c>
      <c r="B394" t="s">
        <v>698</v>
      </c>
      <c r="C394" t="s">
        <v>827</v>
      </c>
      <c r="D394">
        <v>20</v>
      </c>
      <c r="E394" t="s">
        <v>829</v>
      </c>
      <c r="F394" t="s">
        <v>839</v>
      </c>
      <c r="G394">
        <v>93</v>
      </c>
      <c r="H394">
        <v>3.9</v>
      </c>
      <c r="I394">
        <v>68</v>
      </c>
      <c r="J394">
        <v>65</v>
      </c>
      <c r="K394">
        <v>84</v>
      </c>
      <c r="L394">
        <v>69</v>
      </c>
      <c r="M394">
        <v>67</v>
      </c>
      <c r="N394">
        <f>SUM(Table1[[#This Row],[Math_Marks]:[Social_Marks]])</f>
        <v>353</v>
      </c>
      <c r="O394">
        <f>AVERAGE(Table1[[#This Row],[Math_Marks]:[Social_Marks]])</f>
        <v>70.599999999999994</v>
      </c>
      <c r="P394" t="str">
        <f>IF(Table1[[#This Row],[Total_Marks]]&gt;=400,"Top Performer","Need Improvement")</f>
        <v>Need Improvement</v>
      </c>
      <c r="Q394" t="str">
        <f>IF(Table1[[#This Row],[Total_Marks]]&gt;=400,"Excellent",IF(Table1[[#This Row],[Total_Marks]]&gt;=300,"Good",IF(Table1[[#This Row],[Total_Marks]]&gt;=200,"Average","Below Average")))</f>
        <v>Good</v>
      </c>
    </row>
    <row r="395" spans="1:17" x14ac:dyDescent="0.3">
      <c r="A395" t="s">
        <v>406</v>
      </c>
      <c r="B395" t="s">
        <v>688</v>
      </c>
      <c r="C395" t="s">
        <v>828</v>
      </c>
      <c r="D395">
        <v>20</v>
      </c>
      <c r="E395" t="s">
        <v>830</v>
      </c>
      <c r="F395" t="s">
        <v>840</v>
      </c>
      <c r="G395">
        <v>82</v>
      </c>
      <c r="H395">
        <v>3.8</v>
      </c>
      <c r="I395">
        <v>83</v>
      </c>
      <c r="J395">
        <v>69</v>
      </c>
      <c r="K395">
        <v>47</v>
      </c>
      <c r="L395">
        <v>69</v>
      </c>
      <c r="M395">
        <v>66</v>
      </c>
      <c r="N395">
        <f>SUM(Table1[[#This Row],[Math_Marks]:[Social_Marks]])</f>
        <v>334</v>
      </c>
      <c r="O395">
        <f>AVERAGE(Table1[[#This Row],[Math_Marks]:[Social_Marks]])</f>
        <v>66.8</v>
      </c>
      <c r="P395" t="str">
        <f>IF(Table1[[#This Row],[Total_Marks]]&gt;=400,"Top Performer","Need Improvement")</f>
        <v>Need Improvement</v>
      </c>
      <c r="Q395" t="str">
        <f>IF(Table1[[#This Row],[Total_Marks]]&gt;=400,"Excellent",IF(Table1[[#This Row],[Total_Marks]]&gt;=300,"Good",IF(Table1[[#This Row],[Total_Marks]]&gt;=200,"Average","Below Average")))</f>
        <v>Good</v>
      </c>
    </row>
    <row r="396" spans="1:17" x14ac:dyDescent="0.3">
      <c r="A396" t="s">
        <v>407</v>
      </c>
      <c r="B396" t="s">
        <v>620</v>
      </c>
      <c r="C396" t="s">
        <v>828</v>
      </c>
      <c r="D396">
        <v>22</v>
      </c>
      <c r="E396" t="s">
        <v>830</v>
      </c>
      <c r="F396" t="s">
        <v>838</v>
      </c>
      <c r="G396">
        <v>81</v>
      </c>
      <c r="H396">
        <v>3.7</v>
      </c>
      <c r="I396">
        <v>64</v>
      </c>
      <c r="J396">
        <v>60</v>
      </c>
      <c r="K396">
        <v>92</v>
      </c>
      <c r="L396">
        <v>62</v>
      </c>
      <c r="M396">
        <v>69</v>
      </c>
      <c r="N396">
        <f>SUM(Table1[[#This Row],[Math_Marks]:[Social_Marks]])</f>
        <v>347</v>
      </c>
      <c r="O396">
        <f>AVERAGE(Table1[[#This Row],[Math_Marks]:[Social_Marks]])</f>
        <v>69.400000000000006</v>
      </c>
      <c r="P396" t="str">
        <f>IF(Table1[[#This Row],[Total_Marks]]&gt;=400,"Top Performer","Need Improvement")</f>
        <v>Need Improvement</v>
      </c>
      <c r="Q396" t="str">
        <f>IF(Table1[[#This Row],[Total_Marks]]&gt;=400,"Excellent",IF(Table1[[#This Row],[Total_Marks]]&gt;=300,"Good",IF(Table1[[#This Row],[Total_Marks]]&gt;=200,"Average","Below Average")))</f>
        <v>Good</v>
      </c>
    </row>
    <row r="397" spans="1:17" x14ac:dyDescent="0.3">
      <c r="A397" t="s">
        <v>408</v>
      </c>
      <c r="B397" t="s">
        <v>798</v>
      </c>
      <c r="C397" t="s">
        <v>828</v>
      </c>
      <c r="D397">
        <v>18</v>
      </c>
      <c r="E397" t="s">
        <v>833</v>
      </c>
      <c r="F397" t="s">
        <v>836</v>
      </c>
      <c r="G397">
        <v>78</v>
      </c>
      <c r="H397">
        <v>5.4</v>
      </c>
      <c r="I397">
        <v>78</v>
      </c>
      <c r="J397">
        <v>59</v>
      </c>
      <c r="K397">
        <v>88</v>
      </c>
      <c r="L397">
        <v>64</v>
      </c>
      <c r="M397">
        <v>85</v>
      </c>
      <c r="N397">
        <f>SUM(Table1[[#This Row],[Math_Marks]:[Social_Marks]])</f>
        <v>374</v>
      </c>
      <c r="O397">
        <f>AVERAGE(Table1[[#This Row],[Math_Marks]:[Social_Marks]])</f>
        <v>74.8</v>
      </c>
      <c r="P397" t="str">
        <f>IF(Table1[[#This Row],[Total_Marks]]&gt;=400,"Top Performer","Need Improvement")</f>
        <v>Need Improvement</v>
      </c>
      <c r="Q397" t="str">
        <f>IF(Table1[[#This Row],[Total_Marks]]&gt;=400,"Excellent",IF(Table1[[#This Row],[Total_Marks]]&gt;=300,"Good",IF(Table1[[#This Row],[Total_Marks]]&gt;=200,"Average","Below Average")))</f>
        <v>Good</v>
      </c>
    </row>
    <row r="398" spans="1:17" x14ac:dyDescent="0.3">
      <c r="A398" t="s">
        <v>409</v>
      </c>
      <c r="B398" t="s">
        <v>732</v>
      </c>
      <c r="C398" t="s">
        <v>827</v>
      </c>
      <c r="D398">
        <v>19</v>
      </c>
      <c r="E398" t="s">
        <v>832</v>
      </c>
      <c r="F398" t="s">
        <v>842</v>
      </c>
      <c r="G398">
        <v>83</v>
      </c>
      <c r="H398">
        <v>3.1</v>
      </c>
      <c r="I398">
        <v>60</v>
      </c>
      <c r="J398">
        <v>46</v>
      </c>
      <c r="K398">
        <v>71</v>
      </c>
      <c r="L398">
        <v>61</v>
      </c>
      <c r="M398">
        <v>58</v>
      </c>
      <c r="N398">
        <f>SUM(Table1[[#This Row],[Math_Marks]:[Social_Marks]])</f>
        <v>296</v>
      </c>
      <c r="O398">
        <f>AVERAGE(Table1[[#This Row],[Math_Marks]:[Social_Marks]])</f>
        <v>59.2</v>
      </c>
      <c r="P398" t="str">
        <f>IF(Table1[[#This Row],[Total_Marks]]&gt;=400,"Top Performer","Need Improvement")</f>
        <v>Need Improvement</v>
      </c>
      <c r="Q398" t="str">
        <f>IF(Table1[[#This Row],[Total_Marks]]&gt;=400,"Excellent",IF(Table1[[#This Row],[Total_Marks]]&gt;=300,"Good",IF(Table1[[#This Row],[Total_Marks]]&gt;=200,"Average","Below Average")))</f>
        <v>Average</v>
      </c>
    </row>
    <row r="399" spans="1:17" x14ac:dyDescent="0.3">
      <c r="A399" t="s">
        <v>410</v>
      </c>
      <c r="B399" t="s">
        <v>717</v>
      </c>
      <c r="C399" t="s">
        <v>827</v>
      </c>
      <c r="D399">
        <v>18</v>
      </c>
      <c r="E399" t="s">
        <v>833</v>
      </c>
      <c r="F399" t="s">
        <v>835</v>
      </c>
      <c r="G399">
        <v>61</v>
      </c>
      <c r="H399">
        <v>4.4000000000000004</v>
      </c>
      <c r="I399">
        <v>64</v>
      </c>
      <c r="J399">
        <v>56</v>
      </c>
      <c r="K399">
        <v>66</v>
      </c>
      <c r="L399">
        <v>54</v>
      </c>
      <c r="M399">
        <v>57</v>
      </c>
      <c r="N399">
        <f>SUM(Table1[[#This Row],[Math_Marks]:[Social_Marks]])</f>
        <v>297</v>
      </c>
      <c r="O399">
        <f>AVERAGE(Table1[[#This Row],[Math_Marks]:[Social_Marks]])</f>
        <v>59.4</v>
      </c>
      <c r="P399" t="str">
        <f>IF(Table1[[#This Row],[Total_Marks]]&gt;=400,"Top Performer","Need Improvement")</f>
        <v>Need Improvement</v>
      </c>
      <c r="Q399" t="str">
        <f>IF(Table1[[#This Row],[Total_Marks]]&gt;=400,"Excellent",IF(Table1[[#This Row],[Total_Marks]]&gt;=300,"Good",IF(Table1[[#This Row],[Total_Marks]]&gt;=200,"Average","Below Average")))</f>
        <v>Average</v>
      </c>
    </row>
    <row r="400" spans="1:17" x14ac:dyDescent="0.3">
      <c r="A400" t="s">
        <v>411</v>
      </c>
      <c r="B400" t="s">
        <v>780</v>
      </c>
      <c r="C400" t="s">
        <v>828</v>
      </c>
      <c r="D400">
        <v>21</v>
      </c>
      <c r="E400" t="s">
        <v>829</v>
      </c>
      <c r="F400" t="s">
        <v>839</v>
      </c>
      <c r="G400">
        <v>77</v>
      </c>
      <c r="H400">
        <v>6.7</v>
      </c>
      <c r="I400">
        <v>80</v>
      </c>
      <c r="J400">
        <v>74</v>
      </c>
      <c r="K400">
        <v>72</v>
      </c>
      <c r="L400">
        <v>60</v>
      </c>
      <c r="M400">
        <v>85</v>
      </c>
      <c r="N400">
        <f>SUM(Table1[[#This Row],[Math_Marks]:[Social_Marks]])</f>
        <v>371</v>
      </c>
      <c r="O400">
        <f>AVERAGE(Table1[[#This Row],[Math_Marks]:[Social_Marks]])</f>
        <v>74.2</v>
      </c>
      <c r="P400" t="str">
        <f>IF(Table1[[#This Row],[Total_Marks]]&gt;=400,"Top Performer","Need Improvement")</f>
        <v>Need Improvement</v>
      </c>
      <c r="Q400" t="str">
        <f>IF(Table1[[#This Row],[Total_Marks]]&gt;=400,"Excellent",IF(Table1[[#This Row],[Total_Marks]]&gt;=300,"Good",IF(Table1[[#This Row],[Total_Marks]]&gt;=200,"Average","Below Average")))</f>
        <v>Good</v>
      </c>
    </row>
    <row r="401" spans="1:17" x14ac:dyDescent="0.3">
      <c r="A401" t="s">
        <v>412</v>
      </c>
      <c r="B401" t="s">
        <v>799</v>
      </c>
      <c r="C401" t="s">
        <v>827</v>
      </c>
      <c r="D401">
        <v>18</v>
      </c>
      <c r="E401" t="s">
        <v>832</v>
      </c>
      <c r="F401" t="s">
        <v>837</v>
      </c>
      <c r="G401">
        <v>88</v>
      </c>
      <c r="H401">
        <v>1.5</v>
      </c>
      <c r="I401">
        <v>43</v>
      </c>
      <c r="J401">
        <v>66</v>
      </c>
      <c r="K401">
        <v>59</v>
      </c>
      <c r="L401">
        <v>35</v>
      </c>
      <c r="M401">
        <v>40</v>
      </c>
      <c r="N401">
        <f>SUM(Table1[[#This Row],[Math_Marks]:[Social_Marks]])</f>
        <v>243</v>
      </c>
      <c r="O401">
        <f>AVERAGE(Table1[[#This Row],[Math_Marks]:[Social_Marks]])</f>
        <v>48.6</v>
      </c>
      <c r="P401" t="str">
        <f>IF(Table1[[#This Row],[Total_Marks]]&gt;=400,"Top Performer","Need Improvement")</f>
        <v>Need Improvement</v>
      </c>
      <c r="Q401" t="str">
        <f>IF(Table1[[#This Row],[Total_Marks]]&gt;=400,"Excellent",IF(Table1[[#This Row],[Total_Marks]]&gt;=300,"Good",IF(Table1[[#This Row],[Total_Marks]]&gt;=200,"Average","Below Average")))</f>
        <v>Average</v>
      </c>
    </row>
    <row r="402" spans="1:17" x14ac:dyDescent="0.3">
      <c r="A402" t="s">
        <v>413</v>
      </c>
      <c r="B402" t="s">
        <v>650</v>
      </c>
      <c r="C402" t="s">
        <v>828</v>
      </c>
      <c r="D402">
        <v>21</v>
      </c>
      <c r="E402" t="s">
        <v>834</v>
      </c>
      <c r="F402" t="s">
        <v>836</v>
      </c>
      <c r="G402">
        <v>99</v>
      </c>
      <c r="H402">
        <v>4.3</v>
      </c>
      <c r="I402">
        <v>68</v>
      </c>
      <c r="J402">
        <v>79</v>
      </c>
      <c r="K402">
        <v>70</v>
      </c>
      <c r="L402">
        <v>71</v>
      </c>
      <c r="M402">
        <v>78</v>
      </c>
      <c r="N402">
        <f>SUM(Table1[[#This Row],[Math_Marks]:[Social_Marks]])</f>
        <v>366</v>
      </c>
      <c r="O402">
        <f>AVERAGE(Table1[[#This Row],[Math_Marks]:[Social_Marks]])</f>
        <v>73.2</v>
      </c>
      <c r="P402" t="str">
        <f>IF(Table1[[#This Row],[Total_Marks]]&gt;=400,"Top Performer","Need Improvement")</f>
        <v>Need Improvement</v>
      </c>
      <c r="Q402" t="str">
        <f>IF(Table1[[#This Row],[Total_Marks]]&gt;=400,"Excellent",IF(Table1[[#This Row],[Total_Marks]]&gt;=300,"Good",IF(Table1[[#This Row],[Total_Marks]]&gt;=200,"Average","Below Average")))</f>
        <v>Good</v>
      </c>
    </row>
    <row r="403" spans="1:17" x14ac:dyDescent="0.3">
      <c r="A403" t="s">
        <v>414</v>
      </c>
      <c r="B403" t="s">
        <v>800</v>
      </c>
      <c r="C403" t="s">
        <v>827</v>
      </c>
      <c r="D403">
        <v>18</v>
      </c>
      <c r="E403" t="s">
        <v>833</v>
      </c>
      <c r="F403" t="s">
        <v>842</v>
      </c>
      <c r="G403">
        <v>93</v>
      </c>
      <c r="H403">
        <v>2.2000000000000002</v>
      </c>
      <c r="I403">
        <v>45</v>
      </c>
      <c r="J403">
        <v>56</v>
      </c>
      <c r="K403">
        <v>54</v>
      </c>
      <c r="L403">
        <v>50</v>
      </c>
      <c r="M403">
        <v>46</v>
      </c>
      <c r="N403">
        <f>SUM(Table1[[#This Row],[Math_Marks]:[Social_Marks]])</f>
        <v>251</v>
      </c>
      <c r="O403">
        <f>AVERAGE(Table1[[#This Row],[Math_Marks]:[Social_Marks]])</f>
        <v>50.2</v>
      </c>
      <c r="P403" t="str">
        <f>IF(Table1[[#This Row],[Total_Marks]]&gt;=400,"Top Performer","Need Improvement")</f>
        <v>Need Improvement</v>
      </c>
      <c r="Q403" t="str">
        <f>IF(Table1[[#This Row],[Total_Marks]]&gt;=400,"Excellent",IF(Table1[[#This Row],[Total_Marks]]&gt;=300,"Good",IF(Table1[[#This Row],[Total_Marks]]&gt;=200,"Average","Below Average")))</f>
        <v>Average</v>
      </c>
    </row>
    <row r="404" spans="1:17" x14ac:dyDescent="0.3">
      <c r="A404" t="s">
        <v>415</v>
      </c>
      <c r="B404" t="s">
        <v>681</v>
      </c>
      <c r="C404" t="s">
        <v>828</v>
      </c>
      <c r="D404">
        <v>20</v>
      </c>
      <c r="E404" t="s">
        <v>833</v>
      </c>
      <c r="F404" t="s">
        <v>839</v>
      </c>
      <c r="G404">
        <v>75</v>
      </c>
      <c r="H404">
        <v>6.1</v>
      </c>
      <c r="I404">
        <v>81</v>
      </c>
      <c r="J404">
        <v>67</v>
      </c>
      <c r="K404">
        <v>73</v>
      </c>
      <c r="L404">
        <v>71</v>
      </c>
      <c r="M404">
        <v>58</v>
      </c>
      <c r="N404">
        <f>SUM(Table1[[#This Row],[Math_Marks]:[Social_Marks]])</f>
        <v>350</v>
      </c>
      <c r="O404">
        <f>AVERAGE(Table1[[#This Row],[Math_Marks]:[Social_Marks]])</f>
        <v>70</v>
      </c>
      <c r="P404" t="str">
        <f>IF(Table1[[#This Row],[Total_Marks]]&gt;=400,"Top Performer","Need Improvement")</f>
        <v>Need Improvement</v>
      </c>
      <c r="Q404" t="str">
        <f>IF(Table1[[#This Row],[Total_Marks]]&gt;=400,"Excellent",IF(Table1[[#This Row],[Total_Marks]]&gt;=300,"Good",IF(Table1[[#This Row],[Total_Marks]]&gt;=200,"Average","Below Average")))</f>
        <v>Good</v>
      </c>
    </row>
    <row r="405" spans="1:17" x14ac:dyDescent="0.3">
      <c r="A405" t="s">
        <v>416</v>
      </c>
      <c r="B405" t="s">
        <v>801</v>
      </c>
      <c r="C405" t="s">
        <v>828</v>
      </c>
      <c r="D405">
        <v>21</v>
      </c>
      <c r="E405" t="s">
        <v>832</v>
      </c>
      <c r="F405" t="s">
        <v>839</v>
      </c>
      <c r="G405">
        <v>75</v>
      </c>
      <c r="H405">
        <v>3.6</v>
      </c>
      <c r="I405">
        <v>66</v>
      </c>
      <c r="J405">
        <v>58</v>
      </c>
      <c r="K405">
        <v>59</v>
      </c>
      <c r="L405">
        <v>67</v>
      </c>
      <c r="M405">
        <v>65</v>
      </c>
      <c r="N405">
        <f>SUM(Table1[[#This Row],[Math_Marks]:[Social_Marks]])</f>
        <v>315</v>
      </c>
      <c r="O405">
        <f>AVERAGE(Table1[[#This Row],[Math_Marks]:[Social_Marks]])</f>
        <v>63</v>
      </c>
      <c r="P405" t="str">
        <f>IF(Table1[[#This Row],[Total_Marks]]&gt;=400,"Top Performer","Need Improvement")</f>
        <v>Need Improvement</v>
      </c>
      <c r="Q405" t="str">
        <f>IF(Table1[[#This Row],[Total_Marks]]&gt;=400,"Excellent",IF(Table1[[#This Row],[Total_Marks]]&gt;=300,"Good",IF(Table1[[#This Row],[Total_Marks]]&gt;=200,"Average","Below Average")))</f>
        <v>Good</v>
      </c>
    </row>
    <row r="406" spans="1:17" x14ac:dyDescent="0.3">
      <c r="A406" t="s">
        <v>417</v>
      </c>
      <c r="B406" t="s">
        <v>618</v>
      </c>
      <c r="C406" t="s">
        <v>827</v>
      </c>
      <c r="D406">
        <v>22</v>
      </c>
      <c r="E406" t="s">
        <v>834</v>
      </c>
      <c r="F406" t="s">
        <v>837</v>
      </c>
      <c r="G406">
        <v>72</v>
      </c>
      <c r="H406">
        <v>4.9000000000000004</v>
      </c>
      <c r="I406">
        <v>57</v>
      </c>
      <c r="J406">
        <v>66</v>
      </c>
      <c r="K406">
        <v>56</v>
      </c>
      <c r="L406">
        <v>67</v>
      </c>
      <c r="M406">
        <v>54</v>
      </c>
      <c r="N406">
        <f>SUM(Table1[[#This Row],[Math_Marks]:[Social_Marks]])</f>
        <v>300</v>
      </c>
      <c r="O406">
        <f>AVERAGE(Table1[[#This Row],[Math_Marks]:[Social_Marks]])</f>
        <v>60</v>
      </c>
      <c r="P406" t="str">
        <f>IF(Table1[[#This Row],[Total_Marks]]&gt;=400,"Top Performer","Need Improvement")</f>
        <v>Need Improvement</v>
      </c>
      <c r="Q406" t="str">
        <f>IF(Table1[[#This Row],[Total_Marks]]&gt;=400,"Excellent",IF(Table1[[#This Row],[Total_Marks]]&gt;=300,"Good",IF(Table1[[#This Row],[Total_Marks]]&gt;=200,"Average","Below Average")))</f>
        <v>Good</v>
      </c>
    </row>
    <row r="407" spans="1:17" x14ac:dyDescent="0.3">
      <c r="A407" t="s">
        <v>418</v>
      </c>
      <c r="B407" t="s">
        <v>783</v>
      </c>
      <c r="C407" t="s">
        <v>827</v>
      </c>
      <c r="D407">
        <v>21</v>
      </c>
      <c r="E407" t="s">
        <v>831</v>
      </c>
      <c r="F407" t="s">
        <v>836</v>
      </c>
      <c r="G407">
        <v>99</v>
      </c>
      <c r="H407">
        <v>5.0999999999999996</v>
      </c>
      <c r="I407">
        <v>77</v>
      </c>
      <c r="J407">
        <v>59</v>
      </c>
      <c r="K407">
        <v>63</v>
      </c>
      <c r="L407">
        <v>73</v>
      </c>
      <c r="M407">
        <v>53</v>
      </c>
      <c r="N407">
        <f>SUM(Table1[[#This Row],[Math_Marks]:[Social_Marks]])</f>
        <v>325</v>
      </c>
      <c r="O407">
        <f>AVERAGE(Table1[[#This Row],[Math_Marks]:[Social_Marks]])</f>
        <v>65</v>
      </c>
      <c r="P407" t="str">
        <f>IF(Table1[[#This Row],[Total_Marks]]&gt;=400,"Top Performer","Need Improvement")</f>
        <v>Need Improvement</v>
      </c>
      <c r="Q407" t="str">
        <f>IF(Table1[[#This Row],[Total_Marks]]&gt;=400,"Excellent",IF(Table1[[#This Row],[Total_Marks]]&gt;=300,"Good",IF(Table1[[#This Row],[Total_Marks]]&gt;=200,"Average","Below Average")))</f>
        <v>Good</v>
      </c>
    </row>
    <row r="408" spans="1:17" x14ac:dyDescent="0.3">
      <c r="A408" t="s">
        <v>419</v>
      </c>
      <c r="B408" t="s">
        <v>630</v>
      </c>
      <c r="C408" t="s">
        <v>827</v>
      </c>
      <c r="D408">
        <v>20</v>
      </c>
      <c r="E408" t="s">
        <v>834</v>
      </c>
      <c r="F408" t="s">
        <v>842</v>
      </c>
      <c r="G408">
        <v>72</v>
      </c>
      <c r="H408">
        <v>4.4000000000000004</v>
      </c>
      <c r="I408">
        <v>76</v>
      </c>
      <c r="J408">
        <v>65</v>
      </c>
      <c r="K408">
        <v>58</v>
      </c>
      <c r="L408">
        <v>63</v>
      </c>
      <c r="M408">
        <v>54</v>
      </c>
      <c r="N408">
        <f>SUM(Table1[[#This Row],[Math_Marks]:[Social_Marks]])</f>
        <v>316</v>
      </c>
      <c r="O408">
        <f>AVERAGE(Table1[[#This Row],[Math_Marks]:[Social_Marks]])</f>
        <v>63.2</v>
      </c>
      <c r="P408" t="str">
        <f>IF(Table1[[#This Row],[Total_Marks]]&gt;=400,"Top Performer","Need Improvement")</f>
        <v>Need Improvement</v>
      </c>
      <c r="Q408" t="str">
        <f>IF(Table1[[#This Row],[Total_Marks]]&gt;=400,"Excellent",IF(Table1[[#This Row],[Total_Marks]]&gt;=300,"Good",IF(Table1[[#This Row],[Total_Marks]]&gt;=200,"Average","Below Average")))</f>
        <v>Good</v>
      </c>
    </row>
    <row r="409" spans="1:17" x14ac:dyDescent="0.3">
      <c r="A409" t="s">
        <v>420</v>
      </c>
      <c r="B409" t="s">
        <v>802</v>
      </c>
      <c r="C409" t="s">
        <v>827</v>
      </c>
      <c r="D409">
        <v>21</v>
      </c>
      <c r="E409" t="s">
        <v>834</v>
      </c>
      <c r="F409" t="s">
        <v>840</v>
      </c>
      <c r="G409">
        <v>76</v>
      </c>
      <c r="H409">
        <v>3.4</v>
      </c>
      <c r="I409">
        <v>59</v>
      </c>
      <c r="J409">
        <v>60</v>
      </c>
      <c r="K409">
        <v>57</v>
      </c>
      <c r="L409">
        <v>66</v>
      </c>
      <c r="M409">
        <v>52</v>
      </c>
      <c r="N409">
        <f>SUM(Table1[[#This Row],[Math_Marks]:[Social_Marks]])</f>
        <v>294</v>
      </c>
      <c r="O409">
        <f>AVERAGE(Table1[[#This Row],[Math_Marks]:[Social_Marks]])</f>
        <v>58.8</v>
      </c>
      <c r="P409" t="str">
        <f>IF(Table1[[#This Row],[Total_Marks]]&gt;=400,"Top Performer","Need Improvement")</f>
        <v>Need Improvement</v>
      </c>
      <c r="Q409" t="str">
        <f>IF(Table1[[#This Row],[Total_Marks]]&gt;=400,"Excellent",IF(Table1[[#This Row],[Total_Marks]]&gt;=300,"Good",IF(Table1[[#This Row],[Total_Marks]]&gt;=200,"Average","Below Average")))</f>
        <v>Average</v>
      </c>
    </row>
    <row r="410" spans="1:17" x14ac:dyDescent="0.3">
      <c r="A410" t="s">
        <v>421</v>
      </c>
      <c r="B410" t="s">
        <v>803</v>
      </c>
      <c r="C410" t="s">
        <v>828</v>
      </c>
      <c r="D410">
        <v>18</v>
      </c>
      <c r="E410" t="s">
        <v>832</v>
      </c>
      <c r="F410" t="s">
        <v>840</v>
      </c>
      <c r="G410">
        <v>79</v>
      </c>
      <c r="H410">
        <v>7.4</v>
      </c>
      <c r="I410">
        <v>75</v>
      </c>
      <c r="J410">
        <v>66</v>
      </c>
      <c r="K410">
        <v>87</v>
      </c>
      <c r="L410">
        <v>79</v>
      </c>
      <c r="M410">
        <v>67</v>
      </c>
      <c r="N410">
        <f>SUM(Table1[[#This Row],[Math_Marks]:[Social_Marks]])</f>
        <v>374</v>
      </c>
      <c r="O410">
        <f>AVERAGE(Table1[[#This Row],[Math_Marks]:[Social_Marks]])</f>
        <v>74.8</v>
      </c>
      <c r="P410" t="str">
        <f>IF(Table1[[#This Row],[Total_Marks]]&gt;=400,"Top Performer","Need Improvement")</f>
        <v>Need Improvement</v>
      </c>
      <c r="Q410" t="str">
        <f>IF(Table1[[#This Row],[Total_Marks]]&gt;=400,"Excellent",IF(Table1[[#This Row],[Total_Marks]]&gt;=300,"Good",IF(Table1[[#This Row],[Total_Marks]]&gt;=200,"Average","Below Average")))</f>
        <v>Good</v>
      </c>
    </row>
    <row r="411" spans="1:17" x14ac:dyDescent="0.3">
      <c r="A411" t="s">
        <v>422</v>
      </c>
      <c r="B411" t="s">
        <v>729</v>
      </c>
      <c r="C411" t="s">
        <v>828</v>
      </c>
      <c r="D411">
        <v>22</v>
      </c>
      <c r="E411" t="s">
        <v>834</v>
      </c>
      <c r="F411" t="s">
        <v>835</v>
      </c>
      <c r="G411">
        <v>88</v>
      </c>
      <c r="H411">
        <v>4.4000000000000004</v>
      </c>
      <c r="I411">
        <v>69</v>
      </c>
      <c r="J411">
        <v>73</v>
      </c>
      <c r="K411">
        <v>71</v>
      </c>
      <c r="L411">
        <v>70</v>
      </c>
      <c r="M411">
        <v>64</v>
      </c>
      <c r="N411">
        <f>SUM(Table1[[#This Row],[Math_Marks]:[Social_Marks]])</f>
        <v>347</v>
      </c>
      <c r="O411">
        <f>AVERAGE(Table1[[#This Row],[Math_Marks]:[Social_Marks]])</f>
        <v>69.400000000000006</v>
      </c>
      <c r="P411" t="str">
        <f>IF(Table1[[#This Row],[Total_Marks]]&gt;=400,"Top Performer","Need Improvement")</f>
        <v>Need Improvement</v>
      </c>
      <c r="Q411" t="str">
        <f>IF(Table1[[#This Row],[Total_Marks]]&gt;=400,"Excellent",IF(Table1[[#This Row],[Total_Marks]]&gt;=300,"Good",IF(Table1[[#This Row],[Total_Marks]]&gt;=200,"Average","Below Average")))</f>
        <v>Good</v>
      </c>
    </row>
    <row r="412" spans="1:17" x14ac:dyDescent="0.3">
      <c r="A412" t="s">
        <v>423</v>
      </c>
      <c r="B412" t="s">
        <v>657</v>
      </c>
      <c r="C412" t="s">
        <v>828</v>
      </c>
      <c r="D412">
        <v>18</v>
      </c>
      <c r="E412" t="s">
        <v>834</v>
      </c>
      <c r="F412" t="s">
        <v>836</v>
      </c>
      <c r="G412">
        <v>79</v>
      </c>
      <c r="H412">
        <v>6.4</v>
      </c>
      <c r="I412">
        <v>62</v>
      </c>
      <c r="J412">
        <v>60</v>
      </c>
      <c r="K412">
        <v>70</v>
      </c>
      <c r="L412">
        <v>57</v>
      </c>
      <c r="M412">
        <v>64</v>
      </c>
      <c r="N412">
        <f>SUM(Table1[[#This Row],[Math_Marks]:[Social_Marks]])</f>
        <v>313</v>
      </c>
      <c r="O412">
        <f>AVERAGE(Table1[[#This Row],[Math_Marks]:[Social_Marks]])</f>
        <v>62.6</v>
      </c>
      <c r="P412" t="str">
        <f>IF(Table1[[#This Row],[Total_Marks]]&gt;=400,"Top Performer","Need Improvement")</f>
        <v>Need Improvement</v>
      </c>
      <c r="Q412" t="str">
        <f>IF(Table1[[#This Row],[Total_Marks]]&gt;=400,"Excellent",IF(Table1[[#This Row],[Total_Marks]]&gt;=300,"Good",IF(Table1[[#This Row],[Total_Marks]]&gt;=200,"Average","Below Average")))</f>
        <v>Good</v>
      </c>
    </row>
    <row r="413" spans="1:17" x14ac:dyDescent="0.3">
      <c r="A413" t="s">
        <v>424</v>
      </c>
      <c r="B413" t="s">
        <v>707</v>
      </c>
      <c r="C413" t="s">
        <v>828</v>
      </c>
      <c r="D413">
        <v>19</v>
      </c>
      <c r="E413" t="s">
        <v>830</v>
      </c>
      <c r="F413" t="s">
        <v>837</v>
      </c>
      <c r="G413">
        <v>68</v>
      </c>
      <c r="H413">
        <v>5.4</v>
      </c>
      <c r="I413">
        <v>65</v>
      </c>
      <c r="J413">
        <v>53</v>
      </c>
      <c r="K413">
        <v>71</v>
      </c>
      <c r="L413">
        <v>64</v>
      </c>
      <c r="M413">
        <v>50</v>
      </c>
      <c r="N413">
        <f>SUM(Table1[[#This Row],[Math_Marks]:[Social_Marks]])</f>
        <v>303</v>
      </c>
      <c r="O413">
        <f>AVERAGE(Table1[[#This Row],[Math_Marks]:[Social_Marks]])</f>
        <v>60.6</v>
      </c>
      <c r="P413" t="str">
        <f>IF(Table1[[#This Row],[Total_Marks]]&gt;=400,"Top Performer","Need Improvement")</f>
        <v>Need Improvement</v>
      </c>
      <c r="Q413" t="str">
        <f>IF(Table1[[#This Row],[Total_Marks]]&gt;=400,"Excellent",IF(Table1[[#This Row],[Total_Marks]]&gt;=300,"Good",IF(Table1[[#This Row],[Total_Marks]]&gt;=200,"Average","Below Average")))</f>
        <v>Good</v>
      </c>
    </row>
    <row r="414" spans="1:17" x14ac:dyDescent="0.3">
      <c r="A414" t="s">
        <v>425</v>
      </c>
      <c r="B414" t="s">
        <v>641</v>
      </c>
      <c r="C414" t="s">
        <v>828</v>
      </c>
      <c r="D414">
        <v>20</v>
      </c>
      <c r="E414" t="s">
        <v>832</v>
      </c>
      <c r="F414" t="s">
        <v>842</v>
      </c>
      <c r="G414">
        <v>80</v>
      </c>
      <c r="H414">
        <v>5.7</v>
      </c>
      <c r="I414">
        <v>67</v>
      </c>
      <c r="J414">
        <v>74</v>
      </c>
      <c r="K414">
        <v>73</v>
      </c>
      <c r="L414">
        <v>65</v>
      </c>
      <c r="M414">
        <v>64</v>
      </c>
      <c r="N414">
        <f>SUM(Table1[[#This Row],[Math_Marks]:[Social_Marks]])</f>
        <v>343</v>
      </c>
      <c r="O414">
        <f>AVERAGE(Table1[[#This Row],[Math_Marks]:[Social_Marks]])</f>
        <v>68.599999999999994</v>
      </c>
      <c r="P414" t="str">
        <f>IF(Table1[[#This Row],[Total_Marks]]&gt;=400,"Top Performer","Need Improvement")</f>
        <v>Need Improvement</v>
      </c>
      <c r="Q414" t="str">
        <f>IF(Table1[[#This Row],[Total_Marks]]&gt;=400,"Excellent",IF(Table1[[#This Row],[Total_Marks]]&gt;=300,"Good",IF(Table1[[#This Row],[Total_Marks]]&gt;=200,"Average","Below Average")))</f>
        <v>Good</v>
      </c>
    </row>
    <row r="415" spans="1:17" x14ac:dyDescent="0.3">
      <c r="A415" t="s">
        <v>426</v>
      </c>
      <c r="B415" t="s">
        <v>654</v>
      </c>
      <c r="C415" t="s">
        <v>828</v>
      </c>
      <c r="D415">
        <v>19</v>
      </c>
      <c r="E415" t="s">
        <v>830</v>
      </c>
      <c r="F415" t="s">
        <v>835</v>
      </c>
      <c r="G415">
        <v>72</v>
      </c>
      <c r="H415">
        <v>4.3</v>
      </c>
      <c r="I415">
        <v>64</v>
      </c>
      <c r="J415">
        <v>71</v>
      </c>
      <c r="K415">
        <v>54</v>
      </c>
      <c r="L415">
        <v>61</v>
      </c>
      <c r="M415">
        <v>65</v>
      </c>
      <c r="N415">
        <f>SUM(Table1[[#This Row],[Math_Marks]:[Social_Marks]])</f>
        <v>315</v>
      </c>
      <c r="O415">
        <f>AVERAGE(Table1[[#This Row],[Math_Marks]:[Social_Marks]])</f>
        <v>63</v>
      </c>
      <c r="P415" t="str">
        <f>IF(Table1[[#This Row],[Total_Marks]]&gt;=400,"Top Performer","Need Improvement")</f>
        <v>Need Improvement</v>
      </c>
      <c r="Q415" t="str">
        <f>IF(Table1[[#This Row],[Total_Marks]]&gt;=400,"Excellent",IF(Table1[[#This Row],[Total_Marks]]&gt;=300,"Good",IF(Table1[[#This Row],[Total_Marks]]&gt;=200,"Average","Below Average")))</f>
        <v>Good</v>
      </c>
    </row>
    <row r="416" spans="1:17" x14ac:dyDescent="0.3">
      <c r="A416" t="s">
        <v>427</v>
      </c>
      <c r="B416" t="s">
        <v>775</v>
      </c>
      <c r="C416" t="s">
        <v>828</v>
      </c>
      <c r="D416">
        <v>18</v>
      </c>
      <c r="E416" t="s">
        <v>829</v>
      </c>
      <c r="F416" t="s">
        <v>837</v>
      </c>
      <c r="G416">
        <v>84</v>
      </c>
      <c r="H416">
        <v>6.5</v>
      </c>
      <c r="I416">
        <v>65</v>
      </c>
      <c r="J416">
        <v>68</v>
      </c>
      <c r="K416">
        <v>58</v>
      </c>
      <c r="L416">
        <v>67</v>
      </c>
      <c r="M416">
        <v>56</v>
      </c>
      <c r="N416">
        <f>SUM(Table1[[#This Row],[Math_Marks]:[Social_Marks]])</f>
        <v>314</v>
      </c>
      <c r="O416">
        <f>AVERAGE(Table1[[#This Row],[Math_Marks]:[Social_Marks]])</f>
        <v>62.8</v>
      </c>
      <c r="P416" t="str">
        <f>IF(Table1[[#This Row],[Total_Marks]]&gt;=400,"Top Performer","Need Improvement")</f>
        <v>Need Improvement</v>
      </c>
      <c r="Q416" t="str">
        <f>IF(Table1[[#This Row],[Total_Marks]]&gt;=400,"Excellent",IF(Table1[[#This Row],[Total_Marks]]&gt;=300,"Good",IF(Table1[[#This Row],[Total_Marks]]&gt;=200,"Average","Below Average")))</f>
        <v>Good</v>
      </c>
    </row>
    <row r="417" spans="1:17" x14ac:dyDescent="0.3">
      <c r="A417" t="s">
        <v>428</v>
      </c>
      <c r="B417" t="s">
        <v>804</v>
      </c>
      <c r="C417" t="s">
        <v>828</v>
      </c>
      <c r="D417">
        <v>21</v>
      </c>
      <c r="E417" t="s">
        <v>832</v>
      </c>
      <c r="F417" t="s">
        <v>842</v>
      </c>
      <c r="G417">
        <v>65</v>
      </c>
      <c r="H417">
        <v>2.2999999999999998</v>
      </c>
      <c r="I417">
        <v>59</v>
      </c>
      <c r="J417">
        <v>37</v>
      </c>
      <c r="K417">
        <v>68</v>
      </c>
      <c r="L417">
        <v>60</v>
      </c>
      <c r="M417">
        <v>52</v>
      </c>
      <c r="N417">
        <f>SUM(Table1[[#This Row],[Math_Marks]:[Social_Marks]])</f>
        <v>276</v>
      </c>
      <c r="O417">
        <f>AVERAGE(Table1[[#This Row],[Math_Marks]:[Social_Marks]])</f>
        <v>55.2</v>
      </c>
      <c r="P417" t="str">
        <f>IF(Table1[[#This Row],[Total_Marks]]&gt;=400,"Top Performer","Need Improvement")</f>
        <v>Need Improvement</v>
      </c>
      <c r="Q417" t="str">
        <f>IF(Table1[[#This Row],[Total_Marks]]&gt;=400,"Excellent",IF(Table1[[#This Row],[Total_Marks]]&gt;=300,"Good",IF(Table1[[#This Row],[Total_Marks]]&gt;=200,"Average","Below Average")))</f>
        <v>Average</v>
      </c>
    </row>
    <row r="418" spans="1:17" x14ac:dyDescent="0.3">
      <c r="A418" t="s">
        <v>429</v>
      </c>
      <c r="B418" t="s">
        <v>747</v>
      </c>
      <c r="C418" t="s">
        <v>828</v>
      </c>
      <c r="D418">
        <v>19</v>
      </c>
      <c r="E418" t="s">
        <v>833</v>
      </c>
      <c r="F418" t="s">
        <v>837</v>
      </c>
      <c r="G418">
        <v>85</v>
      </c>
      <c r="H418">
        <v>6.5</v>
      </c>
      <c r="I418">
        <v>90</v>
      </c>
      <c r="J418">
        <v>91</v>
      </c>
      <c r="K418">
        <v>93</v>
      </c>
      <c r="L418">
        <v>77</v>
      </c>
      <c r="M418">
        <v>92</v>
      </c>
      <c r="N418">
        <f>SUM(Table1[[#This Row],[Math_Marks]:[Social_Marks]])</f>
        <v>443</v>
      </c>
      <c r="O418">
        <f>AVERAGE(Table1[[#This Row],[Math_Marks]:[Social_Marks]])</f>
        <v>88.6</v>
      </c>
      <c r="P418" t="str">
        <f>IF(Table1[[#This Row],[Total_Marks]]&gt;=400,"Top Performer","Need Improvement")</f>
        <v>Top Performer</v>
      </c>
      <c r="Q418" t="str">
        <f>IF(Table1[[#This Row],[Total_Marks]]&gt;=400,"Excellent",IF(Table1[[#This Row],[Total_Marks]]&gt;=300,"Good",IF(Table1[[#This Row],[Total_Marks]]&gt;=200,"Average","Below Average")))</f>
        <v>Excellent</v>
      </c>
    </row>
    <row r="419" spans="1:17" x14ac:dyDescent="0.3">
      <c r="A419" t="s">
        <v>430</v>
      </c>
      <c r="B419" t="s">
        <v>785</v>
      </c>
      <c r="C419" t="s">
        <v>827</v>
      </c>
      <c r="D419">
        <v>22</v>
      </c>
      <c r="E419" t="s">
        <v>833</v>
      </c>
      <c r="F419" t="s">
        <v>842</v>
      </c>
      <c r="G419">
        <v>86</v>
      </c>
      <c r="H419">
        <v>4</v>
      </c>
      <c r="I419">
        <v>46</v>
      </c>
      <c r="J419">
        <v>50</v>
      </c>
      <c r="K419">
        <v>48</v>
      </c>
      <c r="L419">
        <v>44</v>
      </c>
      <c r="M419">
        <v>58</v>
      </c>
      <c r="N419">
        <f>SUM(Table1[[#This Row],[Math_Marks]:[Social_Marks]])</f>
        <v>246</v>
      </c>
      <c r="O419">
        <f>AVERAGE(Table1[[#This Row],[Math_Marks]:[Social_Marks]])</f>
        <v>49.2</v>
      </c>
      <c r="P419" t="str">
        <f>IF(Table1[[#This Row],[Total_Marks]]&gt;=400,"Top Performer","Need Improvement")</f>
        <v>Need Improvement</v>
      </c>
      <c r="Q419" t="str">
        <f>IF(Table1[[#This Row],[Total_Marks]]&gt;=400,"Excellent",IF(Table1[[#This Row],[Total_Marks]]&gt;=300,"Good",IF(Table1[[#This Row],[Total_Marks]]&gt;=200,"Average","Below Average")))</f>
        <v>Average</v>
      </c>
    </row>
    <row r="420" spans="1:17" x14ac:dyDescent="0.3">
      <c r="A420" t="s">
        <v>431</v>
      </c>
      <c r="B420" t="s">
        <v>796</v>
      </c>
      <c r="C420" t="s">
        <v>828</v>
      </c>
      <c r="D420">
        <v>18</v>
      </c>
      <c r="E420" t="s">
        <v>829</v>
      </c>
      <c r="F420" t="s">
        <v>842</v>
      </c>
      <c r="G420">
        <v>85</v>
      </c>
      <c r="H420">
        <v>5.4</v>
      </c>
      <c r="I420">
        <v>67</v>
      </c>
      <c r="J420">
        <v>54</v>
      </c>
      <c r="K420">
        <v>70</v>
      </c>
      <c r="L420">
        <v>80</v>
      </c>
      <c r="M420">
        <v>71</v>
      </c>
      <c r="N420">
        <f>SUM(Table1[[#This Row],[Math_Marks]:[Social_Marks]])</f>
        <v>342</v>
      </c>
      <c r="O420">
        <f>AVERAGE(Table1[[#This Row],[Math_Marks]:[Social_Marks]])</f>
        <v>68.400000000000006</v>
      </c>
      <c r="P420" t="str">
        <f>IF(Table1[[#This Row],[Total_Marks]]&gt;=400,"Top Performer","Need Improvement")</f>
        <v>Need Improvement</v>
      </c>
      <c r="Q420" t="str">
        <f>IF(Table1[[#This Row],[Total_Marks]]&gt;=400,"Excellent",IF(Table1[[#This Row],[Total_Marks]]&gt;=300,"Good",IF(Table1[[#This Row],[Total_Marks]]&gt;=200,"Average","Below Average")))</f>
        <v>Good</v>
      </c>
    </row>
    <row r="421" spans="1:17" x14ac:dyDescent="0.3">
      <c r="A421" t="s">
        <v>432</v>
      </c>
      <c r="B421" t="s">
        <v>783</v>
      </c>
      <c r="C421" t="s">
        <v>827</v>
      </c>
      <c r="D421">
        <v>18</v>
      </c>
      <c r="E421" t="s">
        <v>829</v>
      </c>
      <c r="F421" t="s">
        <v>839</v>
      </c>
      <c r="G421">
        <v>79</v>
      </c>
      <c r="H421">
        <v>4.5</v>
      </c>
      <c r="I421">
        <v>82</v>
      </c>
      <c r="J421">
        <v>56</v>
      </c>
      <c r="K421">
        <v>66</v>
      </c>
      <c r="L421">
        <v>77</v>
      </c>
      <c r="M421">
        <v>82</v>
      </c>
      <c r="N421">
        <f>SUM(Table1[[#This Row],[Math_Marks]:[Social_Marks]])</f>
        <v>363</v>
      </c>
      <c r="O421">
        <f>AVERAGE(Table1[[#This Row],[Math_Marks]:[Social_Marks]])</f>
        <v>72.599999999999994</v>
      </c>
      <c r="P421" t="str">
        <f>IF(Table1[[#This Row],[Total_Marks]]&gt;=400,"Top Performer","Need Improvement")</f>
        <v>Need Improvement</v>
      </c>
      <c r="Q421" t="str">
        <f>IF(Table1[[#This Row],[Total_Marks]]&gt;=400,"Excellent",IF(Table1[[#This Row],[Total_Marks]]&gt;=300,"Good",IF(Table1[[#This Row],[Total_Marks]]&gt;=200,"Average","Below Average")))</f>
        <v>Good</v>
      </c>
    </row>
    <row r="422" spans="1:17" x14ac:dyDescent="0.3">
      <c r="A422" t="s">
        <v>433</v>
      </c>
      <c r="B422" t="s">
        <v>686</v>
      </c>
      <c r="C422" t="s">
        <v>828</v>
      </c>
      <c r="D422">
        <v>18</v>
      </c>
      <c r="E422" t="s">
        <v>832</v>
      </c>
      <c r="F422" t="s">
        <v>842</v>
      </c>
      <c r="G422">
        <v>85</v>
      </c>
      <c r="H422">
        <v>4.9000000000000004</v>
      </c>
      <c r="I422">
        <v>73</v>
      </c>
      <c r="J422">
        <v>78</v>
      </c>
      <c r="K422">
        <v>85</v>
      </c>
      <c r="L422">
        <v>91</v>
      </c>
      <c r="M422">
        <v>81</v>
      </c>
      <c r="N422">
        <f>SUM(Table1[[#This Row],[Math_Marks]:[Social_Marks]])</f>
        <v>408</v>
      </c>
      <c r="O422">
        <f>AVERAGE(Table1[[#This Row],[Math_Marks]:[Social_Marks]])</f>
        <v>81.599999999999994</v>
      </c>
      <c r="P422" t="str">
        <f>IF(Table1[[#This Row],[Total_Marks]]&gt;=400,"Top Performer","Need Improvement")</f>
        <v>Top Performer</v>
      </c>
      <c r="Q422" t="str">
        <f>IF(Table1[[#This Row],[Total_Marks]]&gt;=400,"Excellent",IF(Table1[[#This Row],[Total_Marks]]&gt;=300,"Good",IF(Table1[[#This Row],[Total_Marks]]&gt;=200,"Average","Below Average")))</f>
        <v>Excellent</v>
      </c>
    </row>
    <row r="423" spans="1:17" x14ac:dyDescent="0.3">
      <c r="A423" t="s">
        <v>434</v>
      </c>
      <c r="B423" t="s">
        <v>797</v>
      </c>
      <c r="C423" t="s">
        <v>827</v>
      </c>
      <c r="D423">
        <v>20</v>
      </c>
      <c r="E423" t="s">
        <v>833</v>
      </c>
      <c r="F423" t="s">
        <v>839</v>
      </c>
      <c r="G423">
        <v>80</v>
      </c>
      <c r="H423">
        <v>4.0999999999999996</v>
      </c>
      <c r="I423">
        <v>68</v>
      </c>
      <c r="J423">
        <v>48</v>
      </c>
      <c r="K423">
        <v>54</v>
      </c>
      <c r="L423">
        <v>58</v>
      </c>
      <c r="M423">
        <v>74</v>
      </c>
      <c r="N423">
        <f>SUM(Table1[[#This Row],[Math_Marks]:[Social_Marks]])</f>
        <v>302</v>
      </c>
      <c r="O423">
        <f>AVERAGE(Table1[[#This Row],[Math_Marks]:[Social_Marks]])</f>
        <v>60.4</v>
      </c>
      <c r="P423" t="str">
        <f>IF(Table1[[#This Row],[Total_Marks]]&gt;=400,"Top Performer","Need Improvement")</f>
        <v>Need Improvement</v>
      </c>
      <c r="Q423" t="str">
        <f>IF(Table1[[#This Row],[Total_Marks]]&gt;=400,"Excellent",IF(Table1[[#This Row],[Total_Marks]]&gt;=300,"Good",IF(Table1[[#This Row],[Total_Marks]]&gt;=200,"Average","Below Average")))</f>
        <v>Good</v>
      </c>
    </row>
    <row r="424" spans="1:17" x14ac:dyDescent="0.3">
      <c r="A424" t="s">
        <v>435</v>
      </c>
      <c r="B424" t="s">
        <v>661</v>
      </c>
      <c r="C424" t="s">
        <v>828</v>
      </c>
      <c r="D424">
        <v>20</v>
      </c>
      <c r="E424" t="s">
        <v>832</v>
      </c>
      <c r="F424" t="s">
        <v>840</v>
      </c>
      <c r="G424">
        <v>96</v>
      </c>
      <c r="H424">
        <v>1</v>
      </c>
      <c r="I424">
        <v>71</v>
      </c>
      <c r="J424">
        <v>54</v>
      </c>
      <c r="K424">
        <v>40</v>
      </c>
      <c r="L424">
        <v>49</v>
      </c>
      <c r="M424">
        <v>50</v>
      </c>
      <c r="N424">
        <f>SUM(Table1[[#This Row],[Math_Marks]:[Social_Marks]])</f>
        <v>264</v>
      </c>
      <c r="O424">
        <f>AVERAGE(Table1[[#This Row],[Math_Marks]:[Social_Marks]])</f>
        <v>52.8</v>
      </c>
      <c r="P424" t="str">
        <f>IF(Table1[[#This Row],[Total_Marks]]&gt;=400,"Top Performer","Need Improvement")</f>
        <v>Need Improvement</v>
      </c>
      <c r="Q424" t="str">
        <f>IF(Table1[[#This Row],[Total_Marks]]&gt;=400,"Excellent",IF(Table1[[#This Row],[Total_Marks]]&gt;=300,"Good",IF(Table1[[#This Row],[Total_Marks]]&gt;=200,"Average","Below Average")))</f>
        <v>Average</v>
      </c>
    </row>
    <row r="425" spans="1:17" x14ac:dyDescent="0.3">
      <c r="A425" t="s">
        <v>436</v>
      </c>
      <c r="B425" t="s">
        <v>740</v>
      </c>
      <c r="C425" t="s">
        <v>828</v>
      </c>
      <c r="D425">
        <v>20</v>
      </c>
      <c r="E425" t="s">
        <v>832</v>
      </c>
      <c r="F425" t="s">
        <v>835</v>
      </c>
      <c r="G425">
        <v>77</v>
      </c>
      <c r="H425">
        <v>5</v>
      </c>
      <c r="I425">
        <v>55</v>
      </c>
      <c r="J425">
        <v>49</v>
      </c>
      <c r="K425">
        <v>51</v>
      </c>
      <c r="L425">
        <v>56</v>
      </c>
      <c r="M425">
        <v>54</v>
      </c>
      <c r="N425">
        <f>SUM(Table1[[#This Row],[Math_Marks]:[Social_Marks]])</f>
        <v>265</v>
      </c>
      <c r="O425">
        <f>AVERAGE(Table1[[#This Row],[Math_Marks]:[Social_Marks]])</f>
        <v>53</v>
      </c>
      <c r="P425" t="str">
        <f>IF(Table1[[#This Row],[Total_Marks]]&gt;=400,"Top Performer","Need Improvement")</f>
        <v>Need Improvement</v>
      </c>
      <c r="Q425" t="str">
        <f>IF(Table1[[#This Row],[Total_Marks]]&gt;=400,"Excellent",IF(Table1[[#This Row],[Total_Marks]]&gt;=300,"Good",IF(Table1[[#This Row],[Total_Marks]]&gt;=200,"Average","Below Average")))</f>
        <v>Average</v>
      </c>
    </row>
    <row r="426" spans="1:17" x14ac:dyDescent="0.3">
      <c r="A426" t="s">
        <v>437</v>
      </c>
      <c r="B426" t="s">
        <v>676</v>
      </c>
      <c r="C426" t="s">
        <v>827</v>
      </c>
      <c r="D426">
        <v>18</v>
      </c>
      <c r="E426" t="s">
        <v>829</v>
      </c>
      <c r="F426" t="s">
        <v>839</v>
      </c>
      <c r="G426">
        <v>72</v>
      </c>
      <c r="H426">
        <v>3.1</v>
      </c>
      <c r="I426">
        <v>67</v>
      </c>
      <c r="J426">
        <v>50</v>
      </c>
      <c r="K426">
        <v>62</v>
      </c>
      <c r="L426">
        <v>55</v>
      </c>
      <c r="M426">
        <v>55</v>
      </c>
      <c r="N426">
        <f>SUM(Table1[[#This Row],[Math_Marks]:[Social_Marks]])</f>
        <v>289</v>
      </c>
      <c r="O426">
        <f>AVERAGE(Table1[[#This Row],[Math_Marks]:[Social_Marks]])</f>
        <v>57.8</v>
      </c>
      <c r="P426" t="str">
        <f>IF(Table1[[#This Row],[Total_Marks]]&gt;=400,"Top Performer","Need Improvement")</f>
        <v>Need Improvement</v>
      </c>
      <c r="Q426" t="str">
        <f>IF(Table1[[#This Row],[Total_Marks]]&gt;=400,"Excellent",IF(Table1[[#This Row],[Total_Marks]]&gt;=300,"Good",IF(Table1[[#This Row],[Total_Marks]]&gt;=200,"Average","Below Average")))</f>
        <v>Average</v>
      </c>
    </row>
    <row r="427" spans="1:17" x14ac:dyDescent="0.3">
      <c r="A427" t="s">
        <v>438</v>
      </c>
      <c r="B427" t="s">
        <v>771</v>
      </c>
      <c r="C427" t="s">
        <v>827</v>
      </c>
      <c r="D427">
        <v>18</v>
      </c>
      <c r="E427" t="s">
        <v>830</v>
      </c>
      <c r="F427" t="s">
        <v>839</v>
      </c>
      <c r="G427">
        <v>83</v>
      </c>
      <c r="H427">
        <v>3.4</v>
      </c>
      <c r="I427">
        <v>64</v>
      </c>
      <c r="J427">
        <v>60</v>
      </c>
      <c r="K427">
        <v>53</v>
      </c>
      <c r="L427">
        <v>57</v>
      </c>
      <c r="M427">
        <v>56</v>
      </c>
      <c r="N427">
        <f>SUM(Table1[[#This Row],[Math_Marks]:[Social_Marks]])</f>
        <v>290</v>
      </c>
      <c r="O427">
        <f>AVERAGE(Table1[[#This Row],[Math_Marks]:[Social_Marks]])</f>
        <v>58</v>
      </c>
      <c r="P427" t="str">
        <f>IF(Table1[[#This Row],[Total_Marks]]&gt;=400,"Top Performer","Need Improvement")</f>
        <v>Need Improvement</v>
      </c>
      <c r="Q427" t="str">
        <f>IF(Table1[[#This Row],[Total_Marks]]&gt;=400,"Excellent",IF(Table1[[#This Row],[Total_Marks]]&gt;=300,"Good",IF(Table1[[#This Row],[Total_Marks]]&gt;=200,"Average","Below Average")))</f>
        <v>Average</v>
      </c>
    </row>
    <row r="428" spans="1:17" x14ac:dyDescent="0.3">
      <c r="A428" t="s">
        <v>439</v>
      </c>
      <c r="B428" t="s">
        <v>805</v>
      </c>
      <c r="C428" t="s">
        <v>827</v>
      </c>
      <c r="D428">
        <v>21</v>
      </c>
      <c r="E428" t="s">
        <v>833</v>
      </c>
      <c r="F428" t="s">
        <v>838</v>
      </c>
      <c r="G428">
        <v>73</v>
      </c>
      <c r="H428">
        <v>1.4</v>
      </c>
      <c r="I428">
        <v>55</v>
      </c>
      <c r="J428">
        <v>45</v>
      </c>
      <c r="K428">
        <v>70</v>
      </c>
      <c r="L428">
        <v>57</v>
      </c>
      <c r="M428">
        <v>61</v>
      </c>
      <c r="N428">
        <f>SUM(Table1[[#This Row],[Math_Marks]:[Social_Marks]])</f>
        <v>288</v>
      </c>
      <c r="O428">
        <f>AVERAGE(Table1[[#This Row],[Math_Marks]:[Social_Marks]])</f>
        <v>57.6</v>
      </c>
      <c r="P428" t="str">
        <f>IF(Table1[[#This Row],[Total_Marks]]&gt;=400,"Top Performer","Need Improvement")</f>
        <v>Need Improvement</v>
      </c>
      <c r="Q428" t="str">
        <f>IF(Table1[[#This Row],[Total_Marks]]&gt;=400,"Excellent",IF(Table1[[#This Row],[Total_Marks]]&gt;=300,"Good",IF(Table1[[#This Row],[Total_Marks]]&gt;=200,"Average","Below Average")))</f>
        <v>Average</v>
      </c>
    </row>
    <row r="429" spans="1:17" x14ac:dyDescent="0.3">
      <c r="A429" t="s">
        <v>440</v>
      </c>
      <c r="B429" t="s">
        <v>806</v>
      </c>
      <c r="C429" t="s">
        <v>827</v>
      </c>
      <c r="D429">
        <v>18</v>
      </c>
      <c r="E429" t="s">
        <v>831</v>
      </c>
      <c r="F429" t="s">
        <v>842</v>
      </c>
      <c r="G429">
        <v>58</v>
      </c>
      <c r="H429">
        <v>3.1</v>
      </c>
      <c r="I429">
        <v>61</v>
      </c>
      <c r="J429">
        <v>62</v>
      </c>
      <c r="K429">
        <v>71</v>
      </c>
      <c r="L429">
        <v>63</v>
      </c>
      <c r="M429">
        <v>66</v>
      </c>
      <c r="N429">
        <f>SUM(Table1[[#This Row],[Math_Marks]:[Social_Marks]])</f>
        <v>323</v>
      </c>
      <c r="O429">
        <f>AVERAGE(Table1[[#This Row],[Math_Marks]:[Social_Marks]])</f>
        <v>64.599999999999994</v>
      </c>
      <c r="P429" t="str">
        <f>IF(Table1[[#This Row],[Total_Marks]]&gt;=400,"Top Performer","Need Improvement")</f>
        <v>Need Improvement</v>
      </c>
      <c r="Q429" t="str">
        <f>IF(Table1[[#This Row],[Total_Marks]]&gt;=400,"Excellent",IF(Table1[[#This Row],[Total_Marks]]&gt;=300,"Good",IF(Table1[[#This Row],[Total_Marks]]&gt;=200,"Average","Below Average")))</f>
        <v>Good</v>
      </c>
    </row>
    <row r="430" spans="1:17" x14ac:dyDescent="0.3">
      <c r="A430" t="s">
        <v>441</v>
      </c>
      <c r="B430" t="s">
        <v>784</v>
      </c>
      <c r="C430" t="s">
        <v>828</v>
      </c>
      <c r="D430">
        <v>21</v>
      </c>
      <c r="E430" t="s">
        <v>829</v>
      </c>
      <c r="F430" t="s">
        <v>835</v>
      </c>
      <c r="G430">
        <v>82</v>
      </c>
      <c r="H430">
        <v>2.9</v>
      </c>
      <c r="I430">
        <v>51</v>
      </c>
      <c r="J430">
        <v>51</v>
      </c>
      <c r="K430">
        <v>46</v>
      </c>
      <c r="L430">
        <v>44</v>
      </c>
      <c r="M430">
        <v>55</v>
      </c>
      <c r="N430">
        <f>SUM(Table1[[#This Row],[Math_Marks]:[Social_Marks]])</f>
        <v>247</v>
      </c>
      <c r="O430">
        <f>AVERAGE(Table1[[#This Row],[Math_Marks]:[Social_Marks]])</f>
        <v>49.4</v>
      </c>
      <c r="P430" t="str">
        <f>IF(Table1[[#This Row],[Total_Marks]]&gt;=400,"Top Performer","Need Improvement")</f>
        <v>Need Improvement</v>
      </c>
      <c r="Q430" t="str">
        <f>IF(Table1[[#This Row],[Total_Marks]]&gt;=400,"Excellent",IF(Table1[[#This Row],[Total_Marks]]&gt;=300,"Good",IF(Table1[[#This Row],[Total_Marks]]&gt;=200,"Average","Below Average")))</f>
        <v>Average</v>
      </c>
    </row>
    <row r="431" spans="1:17" x14ac:dyDescent="0.3">
      <c r="A431" t="s">
        <v>442</v>
      </c>
      <c r="B431" t="s">
        <v>664</v>
      </c>
      <c r="C431" t="s">
        <v>828</v>
      </c>
      <c r="D431">
        <v>20</v>
      </c>
      <c r="E431" t="s">
        <v>829</v>
      </c>
      <c r="F431" t="s">
        <v>841</v>
      </c>
      <c r="G431">
        <v>84</v>
      </c>
      <c r="H431">
        <v>2.7</v>
      </c>
      <c r="I431">
        <v>62</v>
      </c>
      <c r="J431">
        <v>65</v>
      </c>
      <c r="K431">
        <v>59</v>
      </c>
      <c r="L431">
        <v>68</v>
      </c>
      <c r="M431">
        <v>59</v>
      </c>
      <c r="N431">
        <f>SUM(Table1[[#This Row],[Math_Marks]:[Social_Marks]])</f>
        <v>313</v>
      </c>
      <c r="O431">
        <f>AVERAGE(Table1[[#This Row],[Math_Marks]:[Social_Marks]])</f>
        <v>62.6</v>
      </c>
      <c r="P431" t="str">
        <f>IF(Table1[[#This Row],[Total_Marks]]&gt;=400,"Top Performer","Need Improvement")</f>
        <v>Need Improvement</v>
      </c>
      <c r="Q431" t="str">
        <f>IF(Table1[[#This Row],[Total_Marks]]&gt;=400,"Excellent",IF(Table1[[#This Row],[Total_Marks]]&gt;=300,"Good",IF(Table1[[#This Row],[Total_Marks]]&gt;=200,"Average","Below Average")))</f>
        <v>Good</v>
      </c>
    </row>
    <row r="432" spans="1:17" x14ac:dyDescent="0.3">
      <c r="A432" t="s">
        <v>443</v>
      </c>
      <c r="B432" t="s">
        <v>710</v>
      </c>
      <c r="C432" t="s">
        <v>828</v>
      </c>
      <c r="D432">
        <v>19</v>
      </c>
      <c r="E432" t="s">
        <v>830</v>
      </c>
      <c r="F432" t="s">
        <v>837</v>
      </c>
      <c r="G432">
        <v>84</v>
      </c>
      <c r="H432">
        <v>4.9000000000000004</v>
      </c>
      <c r="I432">
        <v>76</v>
      </c>
      <c r="J432">
        <v>70</v>
      </c>
      <c r="K432">
        <v>67</v>
      </c>
      <c r="L432">
        <v>78</v>
      </c>
      <c r="M432">
        <v>77</v>
      </c>
      <c r="N432">
        <f>SUM(Table1[[#This Row],[Math_Marks]:[Social_Marks]])</f>
        <v>368</v>
      </c>
      <c r="O432">
        <f>AVERAGE(Table1[[#This Row],[Math_Marks]:[Social_Marks]])</f>
        <v>73.599999999999994</v>
      </c>
      <c r="P432" t="str">
        <f>IF(Table1[[#This Row],[Total_Marks]]&gt;=400,"Top Performer","Need Improvement")</f>
        <v>Need Improvement</v>
      </c>
      <c r="Q432" t="str">
        <f>IF(Table1[[#This Row],[Total_Marks]]&gt;=400,"Excellent",IF(Table1[[#This Row],[Total_Marks]]&gt;=300,"Good",IF(Table1[[#This Row],[Total_Marks]]&gt;=200,"Average","Below Average")))</f>
        <v>Good</v>
      </c>
    </row>
    <row r="433" spans="1:17" x14ac:dyDescent="0.3">
      <c r="A433" t="s">
        <v>444</v>
      </c>
      <c r="B433" t="s">
        <v>804</v>
      </c>
      <c r="C433" t="s">
        <v>828</v>
      </c>
      <c r="D433">
        <v>18</v>
      </c>
      <c r="E433" t="s">
        <v>830</v>
      </c>
      <c r="F433" t="s">
        <v>842</v>
      </c>
      <c r="G433">
        <v>76</v>
      </c>
      <c r="H433">
        <v>6.3</v>
      </c>
      <c r="I433">
        <v>76</v>
      </c>
      <c r="J433">
        <v>81</v>
      </c>
      <c r="K433">
        <v>80</v>
      </c>
      <c r="L433">
        <v>57</v>
      </c>
      <c r="M433">
        <v>72</v>
      </c>
      <c r="N433">
        <f>SUM(Table1[[#This Row],[Math_Marks]:[Social_Marks]])</f>
        <v>366</v>
      </c>
      <c r="O433">
        <f>AVERAGE(Table1[[#This Row],[Math_Marks]:[Social_Marks]])</f>
        <v>73.2</v>
      </c>
      <c r="P433" t="str">
        <f>IF(Table1[[#This Row],[Total_Marks]]&gt;=400,"Top Performer","Need Improvement")</f>
        <v>Need Improvement</v>
      </c>
      <c r="Q433" t="str">
        <f>IF(Table1[[#This Row],[Total_Marks]]&gt;=400,"Excellent",IF(Table1[[#This Row],[Total_Marks]]&gt;=300,"Good",IF(Table1[[#This Row],[Total_Marks]]&gt;=200,"Average","Below Average")))</f>
        <v>Good</v>
      </c>
    </row>
    <row r="434" spans="1:17" x14ac:dyDescent="0.3">
      <c r="A434" t="s">
        <v>445</v>
      </c>
      <c r="B434" t="s">
        <v>782</v>
      </c>
      <c r="C434" t="s">
        <v>827</v>
      </c>
      <c r="D434">
        <v>21</v>
      </c>
      <c r="E434" t="s">
        <v>829</v>
      </c>
      <c r="F434" t="s">
        <v>842</v>
      </c>
      <c r="G434">
        <v>92</v>
      </c>
      <c r="H434">
        <v>3.3</v>
      </c>
      <c r="I434">
        <v>60</v>
      </c>
      <c r="J434">
        <v>54</v>
      </c>
      <c r="K434">
        <v>56</v>
      </c>
      <c r="L434">
        <v>55</v>
      </c>
      <c r="M434">
        <v>75</v>
      </c>
      <c r="N434">
        <f>SUM(Table1[[#This Row],[Math_Marks]:[Social_Marks]])</f>
        <v>300</v>
      </c>
      <c r="O434">
        <f>AVERAGE(Table1[[#This Row],[Math_Marks]:[Social_Marks]])</f>
        <v>60</v>
      </c>
      <c r="P434" t="str">
        <f>IF(Table1[[#This Row],[Total_Marks]]&gt;=400,"Top Performer","Need Improvement")</f>
        <v>Need Improvement</v>
      </c>
      <c r="Q434" t="str">
        <f>IF(Table1[[#This Row],[Total_Marks]]&gt;=400,"Excellent",IF(Table1[[#This Row],[Total_Marks]]&gt;=300,"Good",IF(Table1[[#This Row],[Total_Marks]]&gt;=200,"Average","Below Average")))</f>
        <v>Good</v>
      </c>
    </row>
    <row r="435" spans="1:17" x14ac:dyDescent="0.3">
      <c r="A435" t="s">
        <v>446</v>
      </c>
      <c r="B435" t="s">
        <v>639</v>
      </c>
      <c r="C435" t="s">
        <v>827</v>
      </c>
      <c r="D435">
        <v>19</v>
      </c>
      <c r="E435" t="s">
        <v>834</v>
      </c>
      <c r="F435" t="s">
        <v>836</v>
      </c>
      <c r="G435">
        <v>74</v>
      </c>
      <c r="H435">
        <v>5.0999999999999996</v>
      </c>
      <c r="I435">
        <v>73</v>
      </c>
      <c r="J435">
        <v>71</v>
      </c>
      <c r="K435">
        <v>72</v>
      </c>
      <c r="L435">
        <v>73</v>
      </c>
      <c r="M435">
        <v>73</v>
      </c>
      <c r="N435">
        <f>SUM(Table1[[#This Row],[Math_Marks]:[Social_Marks]])</f>
        <v>362</v>
      </c>
      <c r="O435">
        <f>AVERAGE(Table1[[#This Row],[Math_Marks]:[Social_Marks]])</f>
        <v>72.400000000000006</v>
      </c>
      <c r="P435" t="str">
        <f>IF(Table1[[#This Row],[Total_Marks]]&gt;=400,"Top Performer","Need Improvement")</f>
        <v>Need Improvement</v>
      </c>
      <c r="Q435" t="str">
        <f>IF(Table1[[#This Row],[Total_Marks]]&gt;=400,"Excellent",IF(Table1[[#This Row],[Total_Marks]]&gt;=300,"Good",IF(Table1[[#This Row],[Total_Marks]]&gt;=200,"Average","Below Average")))</f>
        <v>Good</v>
      </c>
    </row>
    <row r="436" spans="1:17" x14ac:dyDescent="0.3">
      <c r="A436" t="s">
        <v>447</v>
      </c>
      <c r="B436" t="s">
        <v>626</v>
      </c>
      <c r="C436" t="s">
        <v>827</v>
      </c>
      <c r="D436">
        <v>22</v>
      </c>
      <c r="E436" t="s">
        <v>834</v>
      </c>
      <c r="F436" t="s">
        <v>837</v>
      </c>
      <c r="G436">
        <v>70</v>
      </c>
      <c r="H436">
        <v>2.2000000000000002</v>
      </c>
      <c r="I436">
        <v>50</v>
      </c>
      <c r="J436">
        <v>45</v>
      </c>
      <c r="K436">
        <v>47</v>
      </c>
      <c r="L436">
        <v>32</v>
      </c>
      <c r="M436">
        <v>57</v>
      </c>
      <c r="N436">
        <f>SUM(Table1[[#This Row],[Math_Marks]:[Social_Marks]])</f>
        <v>231</v>
      </c>
      <c r="O436">
        <f>AVERAGE(Table1[[#This Row],[Math_Marks]:[Social_Marks]])</f>
        <v>46.2</v>
      </c>
      <c r="P436" t="str">
        <f>IF(Table1[[#This Row],[Total_Marks]]&gt;=400,"Top Performer","Need Improvement")</f>
        <v>Need Improvement</v>
      </c>
      <c r="Q436" t="str">
        <f>IF(Table1[[#This Row],[Total_Marks]]&gt;=400,"Excellent",IF(Table1[[#This Row],[Total_Marks]]&gt;=300,"Good",IF(Table1[[#This Row],[Total_Marks]]&gt;=200,"Average","Below Average")))</f>
        <v>Average</v>
      </c>
    </row>
    <row r="437" spans="1:17" x14ac:dyDescent="0.3">
      <c r="A437" t="s">
        <v>448</v>
      </c>
      <c r="B437" t="s">
        <v>772</v>
      </c>
      <c r="C437" t="s">
        <v>827</v>
      </c>
      <c r="D437">
        <v>19</v>
      </c>
      <c r="E437" t="s">
        <v>830</v>
      </c>
      <c r="F437" t="s">
        <v>841</v>
      </c>
      <c r="G437">
        <v>73</v>
      </c>
      <c r="H437">
        <v>3</v>
      </c>
      <c r="I437">
        <v>83</v>
      </c>
      <c r="J437">
        <v>63</v>
      </c>
      <c r="K437">
        <v>73</v>
      </c>
      <c r="L437">
        <v>70</v>
      </c>
      <c r="M437">
        <v>63</v>
      </c>
      <c r="N437">
        <f>SUM(Table1[[#This Row],[Math_Marks]:[Social_Marks]])</f>
        <v>352</v>
      </c>
      <c r="O437">
        <f>AVERAGE(Table1[[#This Row],[Math_Marks]:[Social_Marks]])</f>
        <v>70.400000000000006</v>
      </c>
      <c r="P437" t="str">
        <f>IF(Table1[[#This Row],[Total_Marks]]&gt;=400,"Top Performer","Need Improvement")</f>
        <v>Need Improvement</v>
      </c>
      <c r="Q437" t="str">
        <f>IF(Table1[[#This Row],[Total_Marks]]&gt;=400,"Excellent",IF(Table1[[#This Row],[Total_Marks]]&gt;=300,"Good",IF(Table1[[#This Row],[Total_Marks]]&gt;=200,"Average","Below Average")))</f>
        <v>Good</v>
      </c>
    </row>
    <row r="438" spans="1:17" x14ac:dyDescent="0.3">
      <c r="A438" t="s">
        <v>449</v>
      </c>
      <c r="B438" t="s">
        <v>807</v>
      </c>
      <c r="C438" t="s">
        <v>828</v>
      </c>
      <c r="D438">
        <v>22</v>
      </c>
      <c r="E438" t="s">
        <v>831</v>
      </c>
      <c r="F438" t="s">
        <v>838</v>
      </c>
      <c r="G438">
        <v>96</v>
      </c>
      <c r="H438">
        <v>4.0999999999999996</v>
      </c>
      <c r="I438">
        <v>47</v>
      </c>
      <c r="J438">
        <v>55</v>
      </c>
      <c r="K438">
        <v>48</v>
      </c>
      <c r="L438">
        <v>56</v>
      </c>
      <c r="M438">
        <v>43</v>
      </c>
      <c r="N438">
        <f>SUM(Table1[[#This Row],[Math_Marks]:[Social_Marks]])</f>
        <v>249</v>
      </c>
      <c r="O438">
        <f>AVERAGE(Table1[[#This Row],[Math_Marks]:[Social_Marks]])</f>
        <v>49.8</v>
      </c>
      <c r="P438" t="str">
        <f>IF(Table1[[#This Row],[Total_Marks]]&gt;=400,"Top Performer","Need Improvement")</f>
        <v>Need Improvement</v>
      </c>
      <c r="Q438" t="str">
        <f>IF(Table1[[#This Row],[Total_Marks]]&gt;=400,"Excellent",IF(Table1[[#This Row],[Total_Marks]]&gt;=300,"Good",IF(Table1[[#This Row],[Total_Marks]]&gt;=200,"Average","Below Average")))</f>
        <v>Average</v>
      </c>
    </row>
    <row r="439" spans="1:17" x14ac:dyDescent="0.3">
      <c r="A439" t="s">
        <v>450</v>
      </c>
      <c r="B439" t="s">
        <v>791</v>
      </c>
      <c r="C439" t="s">
        <v>827</v>
      </c>
      <c r="D439">
        <v>21</v>
      </c>
      <c r="E439" t="s">
        <v>830</v>
      </c>
      <c r="F439" t="s">
        <v>840</v>
      </c>
      <c r="G439">
        <v>78</v>
      </c>
      <c r="H439">
        <v>5.6</v>
      </c>
      <c r="I439">
        <v>67</v>
      </c>
      <c r="J439">
        <v>65</v>
      </c>
      <c r="K439">
        <v>52</v>
      </c>
      <c r="L439">
        <v>54</v>
      </c>
      <c r="M439">
        <v>65</v>
      </c>
      <c r="N439">
        <f>SUM(Table1[[#This Row],[Math_Marks]:[Social_Marks]])</f>
        <v>303</v>
      </c>
      <c r="O439">
        <f>AVERAGE(Table1[[#This Row],[Math_Marks]:[Social_Marks]])</f>
        <v>60.6</v>
      </c>
      <c r="P439" t="str">
        <f>IF(Table1[[#This Row],[Total_Marks]]&gt;=400,"Top Performer","Need Improvement")</f>
        <v>Need Improvement</v>
      </c>
      <c r="Q439" t="str">
        <f>IF(Table1[[#This Row],[Total_Marks]]&gt;=400,"Excellent",IF(Table1[[#This Row],[Total_Marks]]&gt;=300,"Good",IF(Table1[[#This Row],[Total_Marks]]&gt;=200,"Average","Below Average")))</f>
        <v>Good</v>
      </c>
    </row>
    <row r="440" spans="1:17" x14ac:dyDescent="0.3">
      <c r="A440" t="s">
        <v>451</v>
      </c>
      <c r="B440" t="s">
        <v>801</v>
      </c>
      <c r="C440" t="s">
        <v>828</v>
      </c>
      <c r="D440">
        <v>20</v>
      </c>
      <c r="E440" t="s">
        <v>834</v>
      </c>
      <c r="F440" t="s">
        <v>836</v>
      </c>
      <c r="G440">
        <v>55</v>
      </c>
      <c r="H440">
        <v>4.9000000000000004</v>
      </c>
      <c r="I440">
        <v>71</v>
      </c>
      <c r="J440">
        <v>55</v>
      </c>
      <c r="K440">
        <v>65</v>
      </c>
      <c r="L440">
        <v>69</v>
      </c>
      <c r="M440">
        <v>58</v>
      </c>
      <c r="N440">
        <f>SUM(Table1[[#This Row],[Math_Marks]:[Social_Marks]])</f>
        <v>318</v>
      </c>
      <c r="O440">
        <f>AVERAGE(Table1[[#This Row],[Math_Marks]:[Social_Marks]])</f>
        <v>63.6</v>
      </c>
      <c r="P440" t="str">
        <f>IF(Table1[[#This Row],[Total_Marks]]&gt;=400,"Top Performer","Need Improvement")</f>
        <v>Need Improvement</v>
      </c>
      <c r="Q440" t="str">
        <f>IF(Table1[[#This Row],[Total_Marks]]&gt;=400,"Excellent",IF(Table1[[#This Row],[Total_Marks]]&gt;=300,"Good",IF(Table1[[#This Row],[Total_Marks]]&gt;=200,"Average","Below Average")))</f>
        <v>Good</v>
      </c>
    </row>
    <row r="441" spans="1:17" x14ac:dyDescent="0.3">
      <c r="A441" t="s">
        <v>452</v>
      </c>
      <c r="B441" t="s">
        <v>642</v>
      </c>
      <c r="C441" t="s">
        <v>827</v>
      </c>
      <c r="D441">
        <v>21</v>
      </c>
      <c r="E441" t="s">
        <v>829</v>
      </c>
      <c r="F441" t="s">
        <v>836</v>
      </c>
      <c r="G441">
        <v>86</v>
      </c>
      <c r="H441">
        <v>3.8</v>
      </c>
      <c r="I441">
        <v>68</v>
      </c>
      <c r="J441">
        <v>61</v>
      </c>
      <c r="K441">
        <v>88</v>
      </c>
      <c r="L441">
        <v>67</v>
      </c>
      <c r="M441">
        <v>67</v>
      </c>
      <c r="N441">
        <f>SUM(Table1[[#This Row],[Math_Marks]:[Social_Marks]])</f>
        <v>351</v>
      </c>
      <c r="O441">
        <f>AVERAGE(Table1[[#This Row],[Math_Marks]:[Social_Marks]])</f>
        <v>70.2</v>
      </c>
      <c r="P441" t="str">
        <f>IF(Table1[[#This Row],[Total_Marks]]&gt;=400,"Top Performer","Need Improvement")</f>
        <v>Need Improvement</v>
      </c>
      <c r="Q441" t="str">
        <f>IF(Table1[[#This Row],[Total_Marks]]&gt;=400,"Excellent",IF(Table1[[#This Row],[Total_Marks]]&gt;=300,"Good",IF(Table1[[#This Row],[Total_Marks]]&gt;=200,"Average","Below Average")))</f>
        <v>Good</v>
      </c>
    </row>
    <row r="442" spans="1:17" x14ac:dyDescent="0.3">
      <c r="A442" t="s">
        <v>453</v>
      </c>
      <c r="B442" t="s">
        <v>646</v>
      </c>
      <c r="C442" t="s">
        <v>828</v>
      </c>
      <c r="D442">
        <v>21</v>
      </c>
      <c r="E442" t="s">
        <v>830</v>
      </c>
      <c r="F442" t="s">
        <v>835</v>
      </c>
      <c r="G442">
        <v>81</v>
      </c>
      <c r="H442">
        <v>3.7</v>
      </c>
      <c r="I442">
        <v>46</v>
      </c>
      <c r="J442">
        <v>80</v>
      </c>
      <c r="K442">
        <v>64</v>
      </c>
      <c r="L442">
        <v>69</v>
      </c>
      <c r="M442">
        <v>54</v>
      </c>
      <c r="N442">
        <f>SUM(Table1[[#This Row],[Math_Marks]:[Social_Marks]])</f>
        <v>313</v>
      </c>
      <c r="O442">
        <f>AVERAGE(Table1[[#This Row],[Math_Marks]:[Social_Marks]])</f>
        <v>62.6</v>
      </c>
      <c r="P442" t="str">
        <f>IF(Table1[[#This Row],[Total_Marks]]&gt;=400,"Top Performer","Need Improvement")</f>
        <v>Need Improvement</v>
      </c>
      <c r="Q442" t="str">
        <f>IF(Table1[[#This Row],[Total_Marks]]&gt;=400,"Excellent",IF(Table1[[#This Row],[Total_Marks]]&gt;=300,"Good",IF(Table1[[#This Row],[Total_Marks]]&gt;=200,"Average","Below Average")))</f>
        <v>Good</v>
      </c>
    </row>
    <row r="443" spans="1:17" x14ac:dyDescent="0.3">
      <c r="A443" t="s">
        <v>454</v>
      </c>
      <c r="B443" t="s">
        <v>748</v>
      </c>
      <c r="C443" t="s">
        <v>827</v>
      </c>
      <c r="D443">
        <v>21</v>
      </c>
      <c r="E443" t="s">
        <v>830</v>
      </c>
      <c r="F443" t="s">
        <v>840</v>
      </c>
      <c r="G443">
        <v>76</v>
      </c>
      <c r="H443">
        <v>4.9000000000000004</v>
      </c>
      <c r="I443">
        <v>59</v>
      </c>
      <c r="J443">
        <v>61</v>
      </c>
      <c r="K443">
        <v>73</v>
      </c>
      <c r="L443">
        <v>48</v>
      </c>
      <c r="M443">
        <v>52</v>
      </c>
      <c r="N443">
        <f>SUM(Table1[[#This Row],[Math_Marks]:[Social_Marks]])</f>
        <v>293</v>
      </c>
      <c r="O443">
        <f>AVERAGE(Table1[[#This Row],[Math_Marks]:[Social_Marks]])</f>
        <v>58.6</v>
      </c>
      <c r="P443" t="str">
        <f>IF(Table1[[#This Row],[Total_Marks]]&gt;=400,"Top Performer","Need Improvement")</f>
        <v>Need Improvement</v>
      </c>
      <c r="Q443" t="str">
        <f>IF(Table1[[#This Row],[Total_Marks]]&gt;=400,"Excellent",IF(Table1[[#This Row],[Total_Marks]]&gt;=300,"Good",IF(Table1[[#This Row],[Total_Marks]]&gt;=200,"Average","Below Average")))</f>
        <v>Average</v>
      </c>
    </row>
    <row r="444" spans="1:17" x14ac:dyDescent="0.3">
      <c r="A444" t="s">
        <v>455</v>
      </c>
      <c r="B444" t="s">
        <v>718</v>
      </c>
      <c r="C444" t="s">
        <v>828</v>
      </c>
      <c r="D444">
        <v>21</v>
      </c>
      <c r="E444" t="s">
        <v>831</v>
      </c>
      <c r="F444" t="s">
        <v>836</v>
      </c>
      <c r="G444">
        <v>67</v>
      </c>
      <c r="H444">
        <v>2.7</v>
      </c>
      <c r="I444">
        <v>34</v>
      </c>
      <c r="J444">
        <v>52</v>
      </c>
      <c r="K444">
        <v>46</v>
      </c>
      <c r="L444">
        <v>44</v>
      </c>
      <c r="M444">
        <v>34</v>
      </c>
      <c r="N444">
        <f>SUM(Table1[[#This Row],[Math_Marks]:[Social_Marks]])</f>
        <v>210</v>
      </c>
      <c r="O444">
        <f>AVERAGE(Table1[[#This Row],[Math_Marks]:[Social_Marks]])</f>
        <v>42</v>
      </c>
      <c r="P444" t="str">
        <f>IF(Table1[[#This Row],[Total_Marks]]&gt;=400,"Top Performer","Need Improvement")</f>
        <v>Need Improvement</v>
      </c>
      <c r="Q444" t="str">
        <f>IF(Table1[[#This Row],[Total_Marks]]&gt;=400,"Excellent",IF(Table1[[#This Row],[Total_Marks]]&gt;=300,"Good",IF(Table1[[#This Row],[Total_Marks]]&gt;=200,"Average","Below Average")))</f>
        <v>Average</v>
      </c>
    </row>
    <row r="445" spans="1:17" x14ac:dyDescent="0.3">
      <c r="A445" t="s">
        <v>456</v>
      </c>
      <c r="B445" t="s">
        <v>732</v>
      </c>
      <c r="C445" t="s">
        <v>828</v>
      </c>
      <c r="D445">
        <v>19</v>
      </c>
      <c r="E445" t="s">
        <v>832</v>
      </c>
      <c r="F445" t="s">
        <v>838</v>
      </c>
      <c r="G445">
        <v>89</v>
      </c>
      <c r="H445">
        <v>5.2</v>
      </c>
      <c r="I445">
        <v>70</v>
      </c>
      <c r="J445">
        <v>76</v>
      </c>
      <c r="K445">
        <v>73</v>
      </c>
      <c r="L445">
        <v>74</v>
      </c>
      <c r="M445">
        <v>92</v>
      </c>
      <c r="N445">
        <f>SUM(Table1[[#This Row],[Math_Marks]:[Social_Marks]])</f>
        <v>385</v>
      </c>
      <c r="O445">
        <f>AVERAGE(Table1[[#This Row],[Math_Marks]:[Social_Marks]])</f>
        <v>77</v>
      </c>
      <c r="P445" t="str">
        <f>IF(Table1[[#This Row],[Total_Marks]]&gt;=400,"Top Performer","Need Improvement")</f>
        <v>Need Improvement</v>
      </c>
      <c r="Q445" t="str">
        <f>IF(Table1[[#This Row],[Total_Marks]]&gt;=400,"Excellent",IF(Table1[[#This Row],[Total_Marks]]&gt;=300,"Good",IF(Table1[[#This Row],[Total_Marks]]&gt;=200,"Average","Below Average")))</f>
        <v>Good</v>
      </c>
    </row>
    <row r="446" spans="1:17" x14ac:dyDescent="0.3">
      <c r="A446" t="s">
        <v>457</v>
      </c>
      <c r="B446" t="s">
        <v>664</v>
      </c>
      <c r="C446" t="s">
        <v>828</v>
      </c>
      <c r="D446">
        <v>18</v>
      </c>
      <c r="E446" t="s">
        <v>829</v>
      </c>
      <c r="F446" t="s">
        <v>839</v>
      </c>
      <c r="G446">
        <v>68</v>
      </c>
      <c r="H446">
        <v>2.8</v>
      </c>
      <c r="I446">
        <v>52</v>
      </c>
      <c r="J446">
        <v>41</v>
      </c>
      <c r="K446">
        <v>58</v>
      </c>
      <c r="L446">
        <v>59</v>
      </c>
      <c r="M446">
        <v>58</v>
      </c>
      <c r="N446">
        <f>SUM(Table1[[#This Row],[Math_Marks]:[Social_Marks]])</f>
        <v>268</v>
      </c>
      <c r="O446">
        <f>AVERAGE(Table1[[#This Row],[Math_Marks]:[Social_Marks]])</f>
        <v>53.6</v>
      </c>
      <c r="P446" t="str">
        <f>IF(Table1[[#This Row],[Total_Marks]]&gt;=400,"Top Performer","Need Improvement")</f>
        <v>Need Improvement</v>
      </c>
      <c r="Q446" t="str">
        <f>IF(Table1[[#This Row],[Total_Marks]]&gt;=400,"Excellent",IF(Table1[[#This Row],[Total_Marks]]&gt;=300,"Good",IF(Table1[[#This Row],[Total_Marks]]&gt;=200,"Average","Below Average")))</f>
        <v>Average</v>
      </c>
    </row>
    <row r="447" spans="1:17" x14ac:dyDescent="0.3">
      <c r="A447" t="s">
        <v>458</v>
      </c>
      <c r="B447" t="s">
        <v>659</v>
      </c>
      <c r="C447" t="s">
        <v>827</v>
      </c>
      <c r="D447">
        <v>20</v>
      </c>
      <c r="E447" t="s">
        <v>830</v>
      </c>
      <c r="F447" t="s">
        <v>836</v>
      </c>
      <c r="G447">
        <v>79</v>
      </c>
      <c r="H447">
        <v>7</v>
      </c>
      <c r="I447">
        <v>68</v>
      </c>
      <c r="J447">
        <v>78</v>
      </c>
      <c r="K447">
        <v>66</v>
      </c>
      <c r="L447">
        <v>67</v>
      </c>
      <c r="M447">
        <v>69</v>
      </c>
      <c r="N447">
        <f>SUM(Table1[[#This Row],[Math_Marks]:[Social_Marks]])</f>
        <v>348</v>
      </c>
      <c r="O447">
        <f>AVERAGE(Table1[[#This Row],[Math_Marks]:[Social_Marks]])</f>
        <v>69.599999999999994</v>
      </c>
      <c r="P447" t="str">
        <f>IF(Table1[[#This Row],[Total_Marks]]&gt;=400,"Top Performer","Need Improvement")</f>
        <v>Need Improvement</v>
      </c>
      <c r="Q447" t="str">
        <f>IF(Table1[[#This Row],[Total_Marks]]&gt;=400,"Excellent",IF(Table1[[#This Row],[Total_Marks]]&gt;=300,"Good",IF(Table1[[#This Row],[Total_Marks]]&gt;=200,"Average","Below Average")))</f>
        <v>Good</v>
      </c>
    </row>
    <row r="448" spans="1:17" x14ac:dyDescent="0.3">
      <c r="A448" t="s">
        <v>459</v>
      </c>
      <c r="B448" t="s">
        <v>808</v>
      </c>
      <c r="C448" t="s">
        <v>828</v>
      </c>
      <c r="D448">
        <v>22</v>
      </c>
      <c r="E448" t="s">
        <v>829</v>
      </c>
      <c r="F448" t="s">
        <v>842</v>
      </c>
      <c r="G448">
        <v>86</v>
      </c>
      <c r="H448">
        <v>2.2000000000000002</v>
      </c>
      <c r="I448">
        <v>57</v>
      </c>
      <c r="J448">
        <v>50</v>
      </c>
      <c r="K448">
        <v>53</v>
      </c>
      <c r="L448">
        <v>58</v>
      </c>
      <c r="M448">
        <v>52</v>
      </c>
      <c r="N448">
        <f>SUM(Table1[[#This Row],[Math_Marks]:[Social_Marks]])</f>
        <v>270</v>
      </c>
      <c r="O448">
        <f>AVERAGE(Table1[[#This Row],[Math_Marks]:[Social_Marks]])</f>
        <v>54</v>
      </c>
      <c r="P448" t="str">
        <f>IF(Table1[[#This Row],[Total_Marks]]&gt;=400,"Top Performer","Need Improvement")</f>
        <v>Need Improvement</v>
      </c>
      <c r="Q448" t="str">
        <f>IF(Table1[[#This Row],[Total_Marks]]&gt;=400,"Excellent",IF(Table1[[#This Row],[Total_Marks]]&gt;=300,"Good",IF(Table1[[#This Row],[Total_Marks]]&gt;=200,"Average","Below Average")))</f>
        <v>Average</v>
      </c>
    </row>
    <row r="449" spans="1:17" x14ac:dyDescent="0.3">
      <c r="A449" t="s">
        <v>460</v>
      </c>
      <c r="B449" t="s">
        <v>634</v>
      </c>
      <c r="C449" t="s">
        <v>828</v>
      </c>
      <c r="D449">
        <v>22</v>
      </c>
      <c r="E449" t="s">
        <v>834</v>
      </c>
      <c r="F449" t="s">
        <v>839</v>
      </c>
      <c r="G449">
        <v>92</v>
      </c>
      <c r="H449">
        <v>4.5999999999999996</v>
      </c>
      <c r="I449">
        <v>51</v>
      </c>
      <c r="J449">
        <v>53</v>
      </c>
      <c r="K449">
        <v>53</v>
      </c>
      <c r="L449">
        <v>59</v>
      </c>
      <c r="M449">
        <v>64</v>
      </c>
      <c r="N449">
        <f>SUM(Table1[[#This Row],[Math_Marks]:[Social_Marks]])</f>
        <v>280</v>
      </c>
      <c r="O449">
        <f>AVERAGE(Table1[[#This Row],[Math_Marks]:[Social_Marks]])</f>
        <v>56</v>
      </c>
      <c r="P449" t="str">
        <f>IF(Table1[[#This Row],[Total_Marks]]&gt;=400,"Top Performer","Need Improvement")</f>
        <v>Need Improvement</v>
      </c>
      <c r="Q449" t="str">
        <f>IF(Table1[[#This Row],[Total_Marks]]&gt;=400,"Excellent",IF(Table1[[#This Row],[Total_Marks]]&gt;=300,"Good",IF(Table1[[#This Row],[Total_Marks]]&gt;=200,"Average","Below Average")))</f>
        <v>Average</v>
      </c>
    </row>
    <row r="450" spans="1:17" x14ac:dyDescent="0.3">
      <c r="A450" t="s">
        <v>461</v>
      </c>
      <c r="B450" t="s">
        <v>809</v>
      </c>
      <c r="C450" t="s">
        <v>827</v>
      </c>
      <c r="D450">
        <v>20</v>
      </c>
      <c r="E450" t="s">
        <v>829</v>
      </c>
      <c r="F450" t="s">
        <v>840</v>
      </c>
      <c r="G450">
        <v>63</v>
      </c>
      <c r="H450">
        <v>3.9</v>
      </c>
      <c r="I450">
        <v>62</v>
      </c>
      <c r="J450">
        <v>77</v>
      </c>
      <c r="K450">
        <v>71</v>
      </c>
      <c r="L450">
        <v>67</v>
      </c>
      <c r="M450">
        <v>53</v>
      </c>
      <c r="N450">
        <f>SUM(Table1[[#This Row],[Math_Marks]:[Social_Marks]])</f>
        <v>330</v>
      </c>
      <c r="O450">
        <f>AVERAGE(Table1[[#This Row],[Math_Marks]:[Social_Marks]])</f>
        <v>66</v>
      </c>
      <c r="P450" t="str">
        <f>IF(Table1[[#This Row],[Total_Marks]]&gt;=400,"Top Performer","Need Improvement")</f>
        <v>Need Improvement</v>
      </c>
      <c r="Q450" t="str">
        <f>IF(Table1[[#This Row],[Total_Marks]]&gt;=400,"Excellent",IF(Table1[[#This Row],[Total_Marks]]&gt;=300,"Good",IF(Table1[[#This Row],[Total_Marks]]&gt;=200,"Average","Below Average")))</f>
        <v>Good</v>
      </c>
    </row>
    <row r="451" spans="1:17" x14ac:dyDescent="0.3">
      <c r="A451" t="s">
        <v>462</v>
      </c>
      <c r="B451" t="s">
        <v>721</v>
      </c>
      <c r="C451" t="s">
        <v>828</v>
      </c>
      <c r="D451">
        <v>22</v>
      </c>
      <c r="E451" t="s">
        <v>833</v>
      </c>
      <c r="F451" t="s">
        <v>835</v>
      </c>
      <c r="G451">
        <v>86</v>
      </c>
      <c r="H451">
        <v>4.3</v>
      </c>
      <c r="I451">
        <v>69</v>
      </c>
      <c r="J451">
        <v>60</v>
      </c>
      <c r="K451">
        <v>46</v>
      </c>
      <c r="L451">
        <v>59</v>
      </c>
      <c r="M451">
        <v>62</v>
      </c>
      <c r="N451">
        <f>SUM(Table1[[#This Row],[Math_Marks]:[Social_Marks]])</f>
        <v>296</v>
      </c>
      <c r="O451">
        <f>AVERAGE(Table1[[#This Row],[Math_Marks]:[Social_Marks]])</f>
        <v>59.2</v>
      </c>
      <c r="P451" t="str">
        <f>IF(Table1[[#This Row],[Total_Marks]]&gt;=400,"Top Performer","Need Improvement")</f>
        <v>Need Improvement</v>
      </c>
      <c r="Q451" t="str">
        <f>IF(Table1[[#This Row],[Total_Marks]]&gt;=400,"Excellent",IF(Table1[[#This Row],[Total_Marks]]&gt;=300,"Good",IF(Table1[[#This Row],[Total_Marks]]&gt;=200,"Average","Below Average")))</f>
        <v>Average</v>
      </c>
    </row>
    <row r="452" spans="1:17" x14ac:dyDescent="0.3">
      <c r="A452" t="s">
        <v>463</v>
      </c>
      <c r="B452" t="s">
        <v>732</v>
      </c>
      <c r="C452" t="s">
        <v>827</v>
      </c>
      <c r="D452">
        <v>18</v>
      </c>
      <c r="E452" t="s">
        <v>833</v>
      </c>
      <c r="F452" t="s">
        <v>842</v>
      </c>
      <c r="G452">
        <v>83</v>
      </c>
      <c r="H452">
        <v>1.8</v>
      </c>
      <c r="I452">
        <v>56</v>
      </c>
      <c r="J452">
        <v>56</v>
      </c>
      <c r="K452">
        <v>49</v>
      </c>
      <c r="L452">
        <v>59</v>
      </c>
      <c r="M452">
        <v>55</v>
      </c>
      <c r="N452">
        <f>SUM(Table1[[#This Row],[Math_Marks]:[Social_Marks]])</f>
        <v>275</v>
      </c>
      <c r="O452">
        <f>AVERAGE(Table1[[#This Row],[Math_Marks]:[Social_Marks]])</f>
        <v>55</v>
      </c>
      <c r="P452" t="str">
        <f>IF(Table1[[#This Row],[Total_Marks]]&gt;=400,"Top Performer","Need Improvement")</f>
        <v>Need Improvement</v>
      </c>
      <c r="Q452" t="str">
        <f>IF(Table1[[#This Row],[Total_Marks]]&gt;=400,"Excellent",IF(Table1[[#This Row],[Total_Marks]]&gt;=300,"Good",IF(Table1[[#This Row],[Total_Marks]]&gt;=200,"Average","Below Average")))</f>
        <v>Average</v>
      </c>
    </row>
    <row r="453" spans="1:17" x14ac:dyDescent="0.3">
      <c r="A453" t="s">
        <v>464</v>
      </c>
      <c r="B453" t="s">
        <v>794</v>
      </c>
      <c r="C453" t="s">
        <v>828</v>
      </c>
      <c r="D453">
        <v>21</v>
      </c>
      <c r="E453" t="s">
        <v>830</v>
      </c>
      <c r="F453" t="s">
        <v>838</v>
      </c>
      <c r="G453">
        <v>86</v>
      </c>
      <c r="H453">
        <v>3.2</v>
      </c>
      <c r="I453">
        <v>60</v>
      </c>
      <c r="J453">
        <v>45</v>
      </c>
      <c r="K453">
        <v>64</v>
      </c>
      <c r="L453">
        <v>50</v>
      </c>
      <c r="M453">
        <v>61</v>
      </c>
      <c r="N453">
        <f>SUM(Table1[[#This Row],[Math_Marks]:[Social_Marks]])</f>
        <v>280</v>
      </c>
      <c r="O453">
        <f>AVERAGE(Table1[[#This Row],[Math_Marks]:[Social_Marks]])</f>
        <v>56</v>
      </c>
      <c r="P453" t="str">
        <f>IF(Table1[[#This Row],[Total_Marks]]&gt;=400,"Top Performer","Need Improvement")</f>
        <v>Need Improvement</v>
      </c>
      <c r="Q453" t="str">
        <f>IF(Table1[[#This Row],[Total_Marks]]&gt;=400,"Excellent",IF(Table1[[#This Row],[Total_Marks]]&gt;=300,"Good",IF(Table1[[#This Row],[Total_Marks]]&gt;=200,"Average","Below Average")))</f>
        <v>Average</v>
      </c>
    </row>
    <row r="454" spans="1:17" x14ac:dyDescent="0.3">
      <c r="A454" t="s">
        <v>465</v>
      </c>
      <c r="B454" t="s">
        <v>702</v>
      </c>
      <c r="C454" t="s">
        <v>828</v>
      </c>
      <c r="D454">
        <v>19</v>
      </c>
      <c r="E454" t="s">
        <v>833</v>
      </c>
      <c r="F454" t="s">
        <v>840</v>
      </c>
      <c r="G454">
        <v>80</v>
      </c>
      <c r="H454">
        <v>6.6</v>
      </c>
      <c r="I454">
        <v>88</v>
      </c>
      <c r="J454">
        <v>84</v>
      </c>
      <c r="K454">
        <v>91</v>
      </c>
      <c r="L454">
        <v>94</v>
      </c>
      <c r="M454">
        <v>78</v>
      </c>
      <c r="N454">
        <f>SUM(Table1[[#This Row],[Math_Marks]:[Social_Marks]])</f>
        <v>435</v>
      </c>
      <c r="O454">
        <f>AVERAGE(Table1[[#This Row],[Math_Marks]:[Social_Marks]])</f>
        <v>87</v>
      </c>
      <c r="P454" t="str">
        <f>IF(Table1[[#This Row],[Total_Marks]]&gt;=400,"Top Performer","Need Improvement")</f>
        <v>Top Performer</v>
      </c>
      <c r="Q454" t="str">
        <f>IF(Table1[[#This Row],[Total_Marks]]&gt;=400,"Excellent",IF(Table1[[#This Row],[Total_Marks]]&gt;=300,"Good",IF(Table1[[#This Row],[Total_Marks]]&gt;=200,"Average","Below Average")))</f>
        <v>Excellent</v>
      </c>
    </row>
    <row r="455" spans="1:17" x14ac:dyDescent="0.3">
      <c r="A455" t="s">
        <v>466</v>
      </c>
      <c r="B455" t="s">
        <v>745</v>
      </c>
      <c r="C455" t="s">
        <v>828</v>
      </c>
      <c r="D455">
        <v>21</v>
      </c>
      <c r="E455" t="s">
        <v>831</v>
      </c>
      <c r="F455" t="s">
        <v>836</v>
      </c>
      <c r="G455">
        <v>100</v>
      </c>
      <c r="H455">
        <v>3.9</v>
      </c>
      <c r="I455">
        <v>59</v>
      </c>
      <c r="J455">
        <v>46</v>
      </c>
      <c r="K455">
        <v>48</v>
      </c>
      <c r="L455">
        <v>59</v>
      </c>
      <c r="M455">
        <v>56</v>
      </c>
      <c r="N455">
        <f>SUM(Table1[[#This Row],[Math_Marks]:[Social_Marks]])</f>
        <v>268</v>
      </c>
      <c r="O455">
        <f>AVERAGE(Table1[[#This Row],[Math_Marks]:[Social_Marks]])</f>
        <v>53.6</v>
      </c>
      <c r="P455" t="str">
        <f>IF(Table1[[#This Row],[Total_Marks]]&gt;=400,"Top Performer","Need Improvement")</f>
        <v>Need Improvement</v>
      </c>
      <c r="Q455" t="str">
        <f>IF(Table1[[#This Row],[Total_Marks]]&gt;=400,"Excellent",IF(Table1[[#This Row],[Total_Marks]]&gt;=300,"Good",IF(Table1[[#This Row],[Total_Marks]]&gt;=200,"Average","Below Average")))</f>
        <v>Average</v>
      </c>
    </row>
    <row r="456" spans="1:17" x14ac:dyDescent="0.3">
      <c r="A456" t="s">
        <v>467</v>
      </c>
      <c r="B456" t="s">
        <v>649</v>
      </c>
      <c r="C456" t="s">
        <v>828</v>
      </c>
      <c r="D456">
        <v>20</v>
      </c>
      <c r="E456" t="s">
        <v>829</v>
      </c>
      <c r="F456" t="s">
        <v>835</v>
      </c>
      <c r="G456">
        <v>78</v>
      </c>
      <c r="H456">
        <v>2.1</v>
      </c>
      <c r="I456">
        <v>57</v>
      </c>
      <c r="J456">
        <v>53</v>
      </c>
      <c r="K456">
        <v>43</v>
      </c>
      <c r="L456">
        <v>62</v>
      </c>
      <c r="M456">
        <v>32</v>
      </c>
      <c r="N456">
        <f>SUM(Table1[[#This Row],[Math_Marks]:[Social_Marks]])</f>
        <v>247</v>
      </c>
      <c r="O456">
        <f>AVERAGE(Table1[[#This Row],[Math_Marks]:[Social_Marks]])</f>
        <v>49.4</v>
      </c>
      <c r="P456" t="str">
        <f>IF(Table1[[#This Row],[Total_Marks]]&gt;=400,"Top Performer","Need Improvement")</f>
        <v>Need Improvement</v>
      </c>
      <c r="Q456" t="str">
        <f>IF(Table1[[#This Row],[Total_Marks]]&gt;=400,"Excellent",IF(Table1[[#This Row],[Total_Marks]]&gt;=300,"Good",IF(Table1[[#This Row],[Total_Marks]]&gt;=200,"Average","Below Average")))</f>
        <v>Average</v>
      </c>
    </row>
    <row r="457" spans="1:17" x14ac:dyDescent="0.3">
      <c r="A457" t="s">
        <v>468</v>
      </c>
      <c r="B457" t="s">
        <v>618</v>
      </c>
      <c r="C457" t="s">
        <v>827</v>
      </c>
      <c r="D457">
        <v>22</v>
      </c>
      <c r="E457" t="s">
        <v>834</v>
      </c>
      <c r="F457" t="s">
        <v>837</v>
      </c>
      <c r="G457">
        <v>87</v>
      </c>
      <c r="H457">
        <v>5.5</v>
      </c>
      <c r="I457">
        <v>72</v>
      </c>
      <c r="J457">
        <v>69</v>
      </c>
      <c r="K457">
        <v>53</v>
      </c>
      <c r="L457">
        <v>82</v>
      </c>
      <c r="M457">
        <v>56</v>
      </c>
      <c r="N457">
        <f>SUM(Table1[[#This Row],[Math_Marks]:[Social_Marks]])</f>
        <v>332</v>
      </c>
      <c r="O457">
        <f>AVERAGE(Table1[[#This Row],[Math_Marks]:[Social_Marks]])</f>
        <v>66.400000000000006</v>
      </c>
      <c r="P457" t="str">
        <f>IF(Table1[[#This Row],[Total_Marks]]&gt;=400,"Top Performer","Need Improvement")</f>
        <v>Need Improvement</v>
      </c>
      <c r="Q457" t="str">
        <f>IF(Table1[[#This Row],[Total_Marks]]&gt;=400,"Excellent",IF(Table1[[#This Row],[Total_Marks]]&gt;=300,"Good",IF(Table1[[#This Row],[Total_Marks]]&gt;=200,"Average","Below Average")))</f>
        <v>Good</v>
      </c>
    </row>
    <row r="458" spans="1:17" x14ac:dyDescent="0.3">
      <c r="A458" t="s">
        <v>469</v>
      </c>
      <c r="B458" t="s">
        <v>708</v>
      </c>
      <c r="C458" t="s">
        <v>828</v>
      </c>
      <c r="D458">
        <v>20</v>
      </c>
      <c r="E458" t="s">
        <v>832</v>
      </c>
      <c r="F458" t="s">
        <v>841</v>
      </c>
      <c r="G458">
        <v>77</v>
      </c>
      <c r="H458">
        <v>5</v>
      </c>
      <c r="I458">
        <v>56</v>
      </c>
      <c r="J458">
        <v>53</v>
      </c>
      <c r="K458">
        <v>52</v>
      </c>
      <c r="L458">
        <v>60</v>
      </c>
      <c r="M458">
        <v>66</v>
      </c>
      <c r="N458">
        <f>SUM(Table1[[#This Row],[Math_Marks]:[Social_Marks]])</f>
        <v>287</v>
      </c>
      <c r="O458">
        <f>AVERAGE(Table1[[#This Row],[Math_Marks]:[Social_Marks]])</f>
        <v>57.4</v>
      </c>
      <c r="P458" t="str">
        <f>IF(Table1[[#This Row],[Total_Marks]]&gt;=400,"Top Performer","Need Improvement")</f>
        <v>Need Improvement</v>
      </c>
      <c r="Q458" t="str">
        <f>IF(Table1[[#This Row],[Total_Marks]]&gt;=400,"Excellent",IF(Table1[[#This Row],[Total_Marks]]&gt;=300,"Good",IF(Table1[[#This Row],[Total_Marks]]&gt;=200,"Average","Below Average")))</f>
        <v>Average</v>
      </c>
    </row>
    <row r="459" spans="1:17" x14ac:dyDescent="0.3">
      <c r="A459" t="s">
        <v>470</v>
      </c>
      <c r="B459" t="s">
        <v>646</v>
      </c>
      <c r="C459" t="s">
        <v>828</v>
      </c>
      <c r="D459">
        <v>20</v>
      </c>
      <c r="E459" t="s">
        <v>833</v>
      </c>
      <c r="F459" t="s">
        <v>841</v>
      </c>
      <c r="G459">
        <v>73</v>
      </c>
      <c r="H459">
        <v>3.4</v>
      </c>
      <c r="I459">
        <v>53</v>
      </c>
      <c r="J459">
        <v>62</v>
      </c>
      <c r="K459">
        <v>60</v>
      </c>
      <c r="L459">
        <v>46</v>
      </c>
      <c r="M459">
        <v>45</v>
      </c>
      <c r="N459">
        <f>SUM(Table1[[#This Row],[Math_Marks]:[Social_Marks]])</f>
        <v>266</v>
      </c>
      <c r="O459">
        <f>AVERAGE(Table1[[#This Row],[Math_Marks]:[Social_Marks]])</f>
        <v>53.2</v>
      </c>
      <c r="P459" t="str">
        <f>IF(Table1[[#This Row],[Total_Marks]]&gt;=400,"Top Performer","Need Improvement")</f>
        <v>Need Improvement</v>
      </c>
      <c r="Q459" t="str">
        <f>IF(Table1[[#This Row],[Total_Marks]]&gt;=400,"Excellent",IF(Table1[[#This Row],[Total_Marks]]&gt;=300,"Good",IF(Table1[[#This Row],[Total_Marks]]&gt;=200,"Average","Below Average")))</f>
        <v>Average</v>
      </c>
    </row>
    <row r="460" spans="1:17" x14ac:dyDescent="0.3">
      <c r="A460" t="s">
        <v>471</v>
      </c>
      <c r="B460" t="s">
        <v>689</v>
      </c>
      <c r="C460" t="s">
        <v>828</v>
      </c>
      <c r="D460">
        <v>18</v>
      </c>
      <c r="E460" t="s">
        <v>831</v>
      </c>
      <c r="F460" t="s">
        <v>842</v>
      </c>
      <c r="G460">
        <v>89</v>
      </c>
      <c r="H460">
        <v>1.9</v>
      </c>
      <c r="I460">
        <v>62</v>
      </c>
      <c r="J460">
        <v>51</v>
      </c>
      <c r="K460">
        <v>45</v>
      </c>
      <c r="L460">
        <v>41</v>
      </c>
      <c r="M460">
        <v>44</v>
      </c>
      <c r="N460">
        <f>SUM(Table1[[#This Row],[Math_Marks]:[Social_Marks]])</f>
        <v>243</v>
      </c>
      <c r="O460">
        <f>AVERAGE(Table1[[#This Row],[Math_Marks]:[Social_Marks]])</f>
        <v>48.6</v>
      </c>
      <c r="P460" t="str">
        <f>IF(Table1[[#This Row],[Total_Marks]]&gt;=400,"Top Performer","Need Improvement")</f>
        <v>Need Improvement</v>
      </c>
      <c r="Q460" t="str">
        <f>IF(Table1[[#This Row],[Total_Marks]]&gt;=400,"Excellent",IF(Table1[[#This Row],[Total_Marks]]&gt;=300,"Good",IF(Table1[[#This Row],[Total_Marks]]&gt;=200,"Average","Below Average")))</f>
        <v>Average</v>
      </c>
    </row>
    <row r="461" spans="1:17" x14ac:dyDescent="0.3">
      <c r="A461" t="s">
        <v>472</v>
      </c>
      <c r="B461" t="s">
        <v>810</v>
      </c>
      <c r="C461" t="s">
        <v>828</v>
      </c>
      <c r="D461">
        <v>20</v>
      </c>
      <c r="E461" t="s">
        <v>830</v>
      </c>
      <c r="F461" t="s">
        <v>842</v>
      </c>
      <c r="G461">
        <v>91</v>
      </c>
      <c r="H461">
        <v>3.2</v>
      </c>
      <c r="I461">
        <v>53</v>
      </c>
      <c r="J461">
        <v>36</v>
      </c>
      <c r="K461">
        <v>56</v>
      </c>
      <c r="L461">
        <v>55</v>
      </c>
      <c r="M461">
        <v>63</v>
      </c>
      <c r="N461">
        <f>SUM(Table1[[#This Row],[Math_Marks]:[Social_Marks]])</f>
        <v>263</v>
      </c>
      <c r="O461">
        <f>AVERAGE(Table1[[#This Row],[Math_Marks]:[Social_Marks]])</f>
        <v>52.6</v>
      </c>
      <c r="P461" t="str">
        <f>IF(Table1[[#This Row],[Total_Marks]]&gt;=400,"Top Performer","Need Improvement")</f>
        <v>Need Improvement</v>
      </c>
      <c r="Q461" t="str">
        <f>IF(Table1[[#This Row],[Total_Marks]]&gt;=400,"Excellent",IF(Table1[[#This Row],[Total_Marks]]&gt;=300,"Good",IF(Table1[[#This Row],[Total_Marks]]&gt;=200,"Average","Below Average")))</f>
        <v>Average</v>
      </c>
    </row>
    <row r="462" spans="1:17" x14ac:dyDescent="0.3">
      <c r="A462" t="s">
        <v>473</v>
      </c>
      <c r="B462" t="s">
        <v>811</v>
      </c>
      <c r="C462" t="s">
        <v>827</v>
      </c>
      <c r="D462">
        <v>21</v>
      </c>
      <c r="E462" t="s">
        <v>829</v>
      </c>
      <c r="F462" t="s">
        <v>836</v>
      </c>
      <c r="G462">
        <v>93</v>
      </c>
      <c r="H462">
        <v>3.7</v>
      </c>
      <c r="I462">
        <v>62</v>
      </c>
      <c r="J462">
        <v>79</v>
      </c>
      <c r="K462">
        <v>67</v>
      </c>
      <c r="L462">
        <v>60</v>
      </c>
      <c r="M462">
        <v>64</v>
      </c>
      <c r="N462">
        <f>SUM(Table1[[#This Row],[Math_Marks]:[Social_Marks]])</f>
        <v>332</v>
      </c>
      <c r="O462">
        <f>AVERAGE(Table1[[#This Row],[Math_Marks]:[Social_Marks]])</f>
        <v>66.400000000000006</v>
      </c>
      <c r="P462" t="str">
        <f>IF(Table1[[#This Row],[Total_Marks]]&gt;=400,"Top Performer","Need Improvement")</f>
        <v>Need Improvement</v>
      </c>
      <c r="Q462" t="str">
        <f>IF(Table1[[#This Row],[Total_Marks]]&gt;=400,"Excellent",IF(Table1[[#This Row],[Total_Marks]]&gt;=300,"Good",IF(Table1[[#This Row],[Total_Marks]]&gt;=200,"Average","Below Average")))</f>
        <v>Good</v>
      </c>
    </row>
    <row r="463" spans="1:17" x14ac:dyDescent="0.3">
      <c r="A463" t="s">
        <v>474</v>
      </c>
      <c r="B463" t="s">
        <v>693</v>
      </c>
      <c r="C463" t="s">
        <v>828</v>
      </c>
      <c r="D463">
        <v>21</v>
      </c>
      <c r="E463" t="s">
        <v>829</v>
      </c>
      <c r="F463" t="s">
        <v>837</v>
      </c>
      <c r="G463">
        <v>65</v>
      </c>
      <c r="H463">
        <v>1</v>
      </c>
      <c r="I463">
        <v>66</v>
      </c>
      <c r="J463">
        <v>51</v>
      </c>
      <c r="K463">
        <v>59</v>
      </c>
      <c r="L463">
        <v>67</v>
      </c>
      <c r="M463">
        <v>62</v>
      </c>
      <c r="N463">
        <f>SUM(Table1[[#This Row],[Math_Marks]:[Social_Marks]])</f>
        <v>305</v>
      </c>
      <c r="O463">
        <f>AVERAGE(Table1[[#This Row],[Math_Marks]:[Social_Marks]])</f>
        <v>61</v>
      </c>
      <c r="P463" t="str">
        <f>IF(Table1[[#This Row],[Total_Marks]]&gt;=400,"Top Performer","Need Improvement")</f>
        <v>Need Improvement</v>
      </c>
      <c r="Q463" t="str">
        <f>IF(Table1[[#This Row],[Total_Marks]]&gt;=400,"Excellent",IF(Table1[[#This Row],[Total_Marks]]&gt;=300,"Good",IF(Table1[[#This Row],[Total_Marks]]&gt;=200,"Average","Below Average")))</f>
        <v>Good</v>
      </c>
    </row>
    <row r="464" spans="1:17" x14ac:dyDescent="0.3">
      <c r="A464" t="s">
        <v>475</v>
      </c>
      <c r="B464" t="s">
        <v>808</v>
      </c>
      <c r="C464" t="s">
        <v>828</v>
      </c>
      <c r="D464">
        <v>19</v>
      </c>
      <c r="E464" t="s">
        <v>833</v>
      </c>
      <c r="F464" t="s">
        <v>836</v>
      </c>
      <c r="G464">
        <v>82</v>
      </c>
      <c r="H464">
        <v>3.8</v>
      </c>
      <c r="I464">
        <v>59</v>
      </c>
      <c r="J464">
        <v>63</v>
      </c>
      <c r="K464">
        <v>63</v>
      </c>
      <c r="L464">
        <v>54</v>
      </c>
      <c r="M464">
        <v>69</v>
      </c>
      <c r="N464">
        <f>SUM(Table1[[#This Row],[Math_Marks]:[Social_Marks]])</f>
        <v>308</v>
      </c>
      <c r="O464">
        <f>AVERAGE(Table1[[#This Row],[Math_Marks]:[Social_Marks]])</f>
        <v>61.6</v>
      </c>
      <c r="P464" t="str">
        <f>IF(Table1[[#This Row],[Total_Marks]]&gt;=400,"Top Performer","Need Improvement")</f>
        <v>Need Improvement</v>
      </c>
      <c r="Q464" t="str">
        <f>IF(Table1[[#This Row],[Total_Marks]]&gt;=400,"Excellent",IF(Table1[[#This Row],[Total_Marks]]&gt;=300,"Good",IF(Table1[[#This Row],[Total_Marks]]&gt;=200,"Average","Below Average")))</f>
        <v>Good</v>
      </c>
    </row>
    <row r="465" spans="1:17" x14ac:dyDescent="0.3">
      <c r="A465" t="s">
        <v>476</v>
      </c>
      <c r="B465" t="s">
        <v>760</v>
      </c>
      <c r="C465" t="s">
        <v>827</v>
      </c>
      <c r="D465">
        <v>21</v>
      </c>
      <c r="E465" t="s">
        <v>833</v>
      </c>
      <c r="F465" t="s">
        <v>841</v>
      </c>
      <c r="G465">
        <v>85</v>
      </c>
      <c r="H465">
        <v>1</v>
      </c>
      <c r="I465">
        <v>55</v>
      </c>
      <c r="J465">
        <v>70</v>
      </c>
      <c r="K465">
        <v>56</v>
      </c>
      <c r="L465">
        <v>60</v>
      </c>
      <c r="M465">
        <v>75</v>
      </c>
      <c r="N465">
        <f>SUM(Table1[[#This Row],[Math_Marks]:[Social_Marks]])</f>
        <v>316</v>
      </c>
      <c r="O465">
        <f>AVERAGE(Table1[[#This Row],[Math_Marks]:[Social_Marks]])</f>
        <v>63.2</v>
      </c>
      <c r="P465" t="str">
        <f>IF(Table1[[#This Row],[Total_Marks]]&gt;=400,"Top Performer","Need Improvement")</f>
        <v>Need Improvement</v>
      </c>
      <c r="Q465" t="str">
        <f>IF(Table1[[#This Row],[Total_Marks]]&gt;=400,"Excellent",IF(Table1[[#This Row],[Total_Marks]]&gt;=300,"Good",IF(Table1[[#This Row],[Total_Marks]]&gt;=200,"Average","Below Average")))</f>
        <v>Good</v>
      </c>
    </row>
    <row r="466" spans="1:17" x14ac:dyDescent="0.3">
      <c r="A466" t="s">
        <v>477</v>
      </c>
      <c r="B466" t="s">
        <v>812</v>
      </c>
      <c r="C466" t="s">
        <v>828</v>
      </c>
      <c r="D466">
        <v>21</v>
      </c>
      <c r="E466" t="s">
        <v>829</v>
      </c>
      <c r="F466" t="s">
        <v>835</v>
      </c>
      <c r="G466">
        <v>85</v>
      </c>
      <c r="H466">
        <v>3.9</v>
      </c>
      <c r="I466">
        <v>66</v>
      </c>
      <c r="J466">
        <v>63</v>
      </c>
      <c r="K466">
        <v>66</v>
      </c>
      <c r="L466">
        <v>72</v>
      </c>
      <c r="M466">
        <v>69</v>
      </c>
      <c r="N466">
        <f>SUM(Table1[[#This Row],[Math_Marks]:[Social_Marks]])</f>
        <v>336</v>
      </c>
      <c r="O466">
        <f>AVERAGE(Table1[[#This Row],[Math_Marks]:[Social_Marks]])</f>
        <v>67.2</v>
      </c>
      <c r="P466" t="str">
        <f>IF(Table1[[#This Row],[Total_Marks]]&gt;=400,"Top Performer","Need Improvement")</f>
        <v>Need Improvement</v>
      </c>
      <c r="Q466" t="str">
        <f>IF(Table1[[#This Row],[Total_Marks]]&gt;=400,"Excellent",IF(Table1[[#This Row],[Total_Marks]]&gt;=300,"Good",IF(Table1[[#This Row],[Total_Marks]]&gt;=200,"Average","Below Average")))</f>
        <v>Good</v>
      </c>
    </row>
    <row r="467" spans="1:17" x14ac:dyDescent="0.3">
      <c r="A467" t="s">
        <v>478</v>
      </c>
      <c r="B467" t="s">
        <v>649</v>
      </c>
      <c r="C467" t="s">
        <v>827</v>
      </c>
      <c r="D467">
        <v>21</v>
      </c>
      <c r="E467" t="s">
        <v>833</v>
      </c>
      <c r="F467" t="s">
        <v>838</v>
      </c>
      <c r="G467">
        <v>75</v>
      </c>
      <c r="H467">
        <v>1.6</v>
      </c>
      <c r="I467">
        <v>71</v>
      </c>
      <c r="J467">
        <v>72</v>
      </c>
      <c r="K467">
        <v>57</v>
      </c>
      <c r="L467">
        <v>68</v>
      </c>
      <c r="M467">
        <v>72</v>
      </c>
      <c r="N467">
        <f>SUM(Table1[[#This Row],[Math_Marks]:[Social_Marks]])</f>
        <v>340</v>
      </c>
      <c r="O467">
        <f>AVERAGE(Table1[[#This Row],[Math_Marks]:[Social_Marks]])</f>
        <v>68</v>
      </c>
      <c r="P467" t="str">
        <f>IF(Table1[[#This Row],[Total_Marks]]&gt;=400,"Top Performer","Need Improvement")</f>
        <v>Need Improvement</v>
      </c>
      <c r="Q467" t="str">
        <f>IF(Table1[[#This Row],[Total_Marks]]&gt;=400,"Excellent",IF(Table1[[#This Row],[Total_Marks]]&gt;=300,"Good",IF(Table1[[#This Row],[Total_Marks]]&gt;=200,"Average","Below Average")))</f>
        <v>Good</v>
      </c>
    </row>
    <row r="468" spans="1:17" x14ac:dyDescent="0.3">
      <c r="A468" t="s">
        <v>479</v>
      </c>
      <c r="B468" t="s">
        <v>776</v>
      </c>
      <c r="C468" t="s">
        <v>827</v>
      </c>
      <c r="D468">
        <v>20</v>
      </c>
      <c r="E468" t="s">
        <v>833</v>
      </c>
      <c r="F468" t="s">
        <v>838</v>
      </c>
      <c r="G468">
        <v>73</v>
      </c>
      <c r="H468">
        <v>2.2999999999999998</v>
      </c>
      <c r="I468">
        <v>63</v>
      </c>
      <c r="J468">
        <v>58</v>
      </c>
      <c r="K468">
        <v>49</v>
      </c>
      <c r="L468">
        <v>50</v>
      </c>
      <c r="M468">
        <v>44</v>
      </c>
      <c r="N468">
        <f>SUM(Table1[[#This Row],[Math_Marks]:[Social_Marks]])</f>
        <v>264</v>
      </c>
      <c r="O468">
        <f>AVERAGE(Table1[[#This Row],[Math_Marks]:[Social_Marks]])</f>
        <v>52.8</v>
      </c>
      <c r="P468" t="str">
        <f>IF(Table1[[#This Row],[Total_Marks]]&gt;=400,"Top Performer","Need Improvement")</f>
        <v>Need Improvement</v>
      </c>
      <c r="Q468" t="str">
        <f>IF(Table1[[#This Row],[Total_Marks]]&gt;=400,"Excellent",IF(Table1[[#This Row],[Total_Marks]]&gt;=300,"Good",IF(Table1[[#This Row],[Total_Marks]]&gt;=200,"Average","Below Average")))</f>
        <v>Average</v>
      </c>
    </row>
    <row r="469" spans="1:17" x14ac:dyDescent="0.3">
      <c r="A469" t="s">
        <v>480</v>
      </c>
      <c r="B469" t="s">
        <v>718</v>
      </c>
      <c r="C469" t="s">
        <v>827</v>
      </c>
      <c r="D469">
        <v>18</v>
      </c>
      <c r="E469" t="s">
        <v>834</v>
      </c>
      <c r="F469" t="s">
        <v>840</v>
      </c>
      <c r="G469">
        <v>87</v>
      </c>
      <c r="H469">
        <v>3.5</v>
      </c>
      <c r="I469">
        <v>63</v>
      </c>
      <c r="J469">
        <v>69</v>
      </c>
      <c r="K469">
        <v>76</v>
      </c>
      <c r="L469">
        <v>67</v>
      </c>
      <c r="M469">
        <v>69</v>
      </c>
      <c r="N469">
        <f>SUM(Table1[[#This Row],[Math_Marks]:[Social_Marks]])</f>
        <v>344</v>
      </c>
      <c r="O469">
        <f>AVERAGE(Table1[[#This Row],[Math_Marks]:[Social_Marks]])</f>
        <v>68.8</v>
      </c>
      <c r="P469" t="str">
        <f>IF(Table1[[#This Row],[Total_Marks]]&gt;=400,"Top Performer","Need Improvement")</f>
        <v>Need Improvement</v>
      </c>
      <c r="Q469" t="str">
        <f>IF(Table1[[#This Row],[Total_Marks]]&gt;=400,"Excellent",IF(Table1[[#This Row],[Total_Marks]]&gt;=300,"Good",IF(Table1[[#This Row],[Total_Marks]]&gt;=200,"Average","Below Average")))</f>
        <v>Good</v>
      </c>
    </row>
    <row r="470" spans="1:17" x14ac:dyDescent="0.3">
      <c r="A470" t="s">
        <v>481</v>
      </c>
      <c r="B470" t="s">
        <v>693</v>
      </c>
      <c r="C470" t="s">
        <v>827</v>
      </c>
      <c r="D470">
        <v>18</v>
      </c>
      <c r="E470" t="s">
        <v>832</v>
      </c>
      <c r="F470" t="s">
        <v>842</v>
      </c>
      <c r="G470">
        <v>83</v>
      </c>
      <c r="H470">
        <v>1.7</v>
      </c>
      <c r="I470">
        <v>53</v>
      </c>
      <c r="J470">
        <v>50</v>
      </c>
      <c r="K470">
        <v>66</v>
      </c>
      <c r="L470">
        <v>58</v>
      </c>
      <c r="M470">
        <v>65</v>
      </c>
      <c r="N470">
        <f>SUM(Table1[[#This Row],[Math_Marks]:[Social_Marks]])</f>
        <v>292</v>
      </c>
      <c r="O470">
        <f>AVERAGE(Table1[[#This Row],[Math_Marks]:[Social_Marks]])</f>
        <v>58.4</v>
      </c>
      <c r="P470" t="str">
        <f>IF(Table1[[#This Row],[Total_Marks]]&gt;=400,"Top Performer","Need Improvement")</f>
        <v>Need Improvement</v>
      </c>
      <c r="Q470" t="str">
        <f>IF(Table1[[#This Row],[Total_Marks]]&gt;=400,"Excellent",IF(Table1[[#This Row],[Total_Marks]]&gt;=300,"Good",IF(Table1[[#This Row],[Total_Marks]]&gt;=200,"Average","Below Average")))</f>
        <v>Average</v>
      </c>
    </row>
    <row r="471" spans="1:17" x14ac:dyDescent="0.3">
      <c r="A471" t="s">
        <v>482</v>
      </c>
      <c r="B471" t="s">
        <v>636</v>
      </c>
      <c r="C471" t="s">
        <v>828</v>
      </c>
      <c r="D471">
        <v>18</v>
      </c>
      <c r="E471" t="s">
        <v>832</v>
      </c>
      <c r="F471" t="s">
        <v>835</v>
      </c>
      <c r="G471">
        <v>82</v>
      </c>
      <c r="H471">
        <v>3.8</v>
      </c>
      <c r="I471">
        <v>50</v>
      </c>
      <c r="J471">
        <v>52</v>
      </c>
      <c r="K471">
        <v>58</v>
      </c>
      <c r="L471">
        <v>58</v>
      </c>
      <c r="M471">
        <v>50</v>
      </c>
      <c r="N471">
        <f>SUM(Table1[[#This Row],[Math_Marks]:[Social_Marks]])</f>
        <v>268</v>
      </c>
      <c r="O471">
        <f>AVERAGE(Table1[[#This Row],[Math_Marks]:[Social_Marks]])</f>
        <v>53.6</v>
      </c>
      <c r="P471" t="str">
        <f>IF(Table1[[#This Row],[Total_Marks]]&gt;=400,"Top Performer","Need Improvement")</f>
        <v>Need Improvement</v>
      </c>
      <c r="Q471" t="str">
        <f>IF(Table1[[#This Row],[Total_Marks]]&gt;=400,"Excellent",IF(Table1[[#This Row],[Total_Marks]]&gt;=300,"Good",IF(Table1[[#This Row],[Total_Marks]]&gt;=200,"Average","Below Average")))</f>
        <v>Average</v>
      </c>
    </row>
    <row r="472" spans="1:17" x14ac:dyDescent="0.3">
      <c r="A472" t="s">
        <v>483</v>
      </c>
      <c r="B472" t="s">
        <v>808</v>
      </c>
      <c r="C472" t="s">
        <v>827</v>
      </c>
      <c r="D472">
        <v>22</v>
      </c>
      <c r="E472" t="s">
        <v>831</v>
      </c>
      <c r="F472" t="s">
        <v>842</v>
      </c>
      <c r="G472">
        <v>77</v>
      </c>
      <c r="H472">
        <v>5.4</v>
      </c>
      <c r="I472">
        <v>59</v>
      </c>
      <c r="J472">
        <v>70</v>
      </c>
      <c r="K472">
        <v>52</v>
      </c>
      <c r="L472">
        <v>58</v>
      </c>
      <c r="M472">
        <v>47</v>
      </c>
      <c r="N472">
        <f>SUM(Table1[[#This Row],[Math_Marks]:[Social_Marks]])</f>
        <v>286</v>
      </c>
      <c r="O472">
        <f>AVERAGE(Table1[[#This Row],[Math_Marks]:[Social_Marks]])</f>
        <v>57.2</v>
      </c>
      <c r="P472" t="str">
        <f>IF(Table1[[#This Row],[Total_Marks]]&gt;=400,"Top Performer","Need Improvement")</f>
        <v>Need Improvement</v>
      </c>
      <c r="Q472" t="str">
        <f>IF(Table1[[#This Row],[Total_Marks]]&gt;=400,"Excellent",IF(Table1[[#This Row],[Total_Marks]]&gt;=300,"Good",IF(Table1[[#This Row],[Total_Marks]]&gt;=200,"Average","Below Average")))</f>
        <v>Average</v>
      </c>
    </row>
    <row r="473" spans="1:17" x14ac:dyDescent="0.3">
      <c r="A473" t="s">
        <v>484</v>
      </c>
      <c r="B473" t="s">
        <v>683</v>
      </c>
      <c r="C473" t="s">
        <v>828</v>
      </c>
      <c r="D473">
        <v>22</v>
      </c>
      <c r="E473" t="s">
        <v>829</v>
      </c>
      <c r="F473" t="s">
        <v>835</v>
      </c>
      <c r="G473">
        <v>94</v>
      </c>
      <c r="H473">
        <v>4.8</v>
      </c>
      <c r="I473">
        <v>60</v>
      </c>
      <c r="J473">
        <v>69</v>
      </c>
      <c r="K473">
        <v>60</v>
      </c>
      <c r="L473">
        <v>48</v>
      </c>
      <c r="M473">
        <v>64</v>
      </c>
      <c r="N473">
        <f>SUM(Table1[[#This Row],[Math_Marks]:[Social_Marks]])</f>
        <v>301</v>
      </c>
      <c r="O473">
        <f>AVERAGE(Table1[[#This Row],[Math_Marks]:[Social_Marks]])</f>
        <v>60.2</v>
      </c>
      <c r="P473" t="str">
        <f>IF(Table1[[#This Row],[Total_Marks]]&gt;=400,"Top Performer","Need Improvement")</f>
        <v>Need Improvement</v>
      </c>
      <c r="Q473" t="str">
        <f>IF(Table1[[#This Row],[Total_Marks]]&gt;=400,"Excellent",IF(Table1[[#This Row],[Total_Marks]]&gt;=300,"Good",IF(Table1[[#This Row],[Total_Marks]]&gt;=200,"Average","Below Average")))</f>
        <v>Good</v>
      </c>
    </row>
    <row r="474" spans="1:17" x14ac:dyDescent="0.3">
      <c r="A474" t="s">
        <v>485</v>
      </c>
      <c r="B474" t="s">
        <v>679</v>
      </c>
      <c r="C474" t="s">
        <v>828</v>
      </c>
      <c r="D474">
        <v>18</v>
      </c>
      <c r="E474" t="s">
        <v>833</v>
      </c>
      <c r="F474" t="s">
        <v>835</v>
      </c>
      <c r="G474">
        <v>73</v>
      </c>
      <c r="H474">
        <v>2.8</v>
      </c>
      <c r="I474">
        <v>36</v>
      </c>
      <c r="J474">
        <v>53</v>
      </c>
      <c r="K474">
        <v>63</v>
      </c>
      <c r="L474">
        <v>51</v>
      </c>
      <c r="M474">
        <v>44</v>
      </c>
      <c r="N474">
        <f>SUM(Table1[[#This Row],[Math_Marks]:[Social_Marks]])</f>
        <v>247</v>
      </c>
      <c r="O474">
        <f>AVERAGE(Table1[[#This Row],[Math_Marks]:[Social_Marks]])</f>
        <v>49.4</v>
      </c>
      <c r="P474" t="str">
        <f>IF(Table1[[#This Row],[Total_Marks]]&gt;=400,"Top Performer","Need Improvement")</f>
        <v>Need Improvement</v>
      </c>
      <c r="Q474" t="str">
        <f>IF(Table1[[#This Row],[Total_Marks]]&gt;=400,"Excellent",IF(Table1[[#This Row],[Total_Marks]]&gt;=300,"Good",IF(Table1[[#This Row],[Total_Marks]]&gt;=200,"Average","Below Average")))</f>
        <v>Average</v>
      </c>
    </row>
    <row r="475" spans="1:17" x14ac:dyDescent="0.3">
      <c r="A475" t="s">
        <v>486</v>
      </c>
      <c r="B475" t="s">
        <v>625</v>
      </c>
      <c r="C475" t="s">
        <v>828</v>
      </c>
      <c r="D475">
        <v>21</v>
      </c>
      <c r="E475" t="s">
        <v>831</v>
      </c>
      <c r="F475" t="s">
        <v>836</v>
      </c>
      <c r="G475">
        <v>80</v>
      </c>
      <c r="H475">
        <v>7</v>
      </c>
      <c r="I475">
        <v>72</v>
      </c>
      <c r="J475">
        <v>81</v>
      </c>
      <c r="K475">
        <v>81</v>
      </c>
      <c r="L475">
        <v>86</v>
      </c>
      <c r="M475">
        <v>86</v>
      </c>
      <c r="N475">
        <f>SUM(Table1[[#This Row],[Math_Marks]:[Social_Marks]])</f>
        <v>406</v>
      </c>
      <c r="O475">
        <f>AVERAGE(Table1[[#This Row],[Math_Marks]:[Social_Marks]])</f>
        <v>81.2</v>
      </c>
      <c r="P475" t="str">
        <f>IF(Table1[[#This Row],[Total_Marks]]&gt;=400,"Top Performer","Need Improvement")</f>
        <v>Top Performer</v>
      </c>
      <c r="Q475" t="str">
        <f>IF(Table1[[#This Row],[Total_Marks]]&gt;=400,"Excellent",IF(Table1[[#This Row],[Total_Marks]]&gt;=300,"Good",IF(Table1[[#This Row],[Total_Marks]]&gt;=200,"Average","Below Average")))</f>
        <v>Excellent</v>
      </c>
    </row>
    <row r="476" spans="1:17" x14ac:dyDescent="0.3">
      <c r="A476" t="s">
        <v>487</v>
      </c>
      <c r="B476" t="s">
        <v>648</v>
      </c>
      <c r="C476" t="s">
        <v>827</v>
      </c>
      <c r="D476">
        <v>22</v>
      </c>
      <c r="E476" t="s">
        <v>832</v>
      </c>
      <c r="F476" t="s">
        <v>836</v>
      </c>
      <c r="G476">
        <v>84</v>
      </c>
      <c r="H476">
        <v>4.7</v>
      </c>
      <c r="I476">
        <v>69</v>
      </c>
      <c r="J476">
        <v>60</v>
      </c>
      <c r="K476">
        <v>69</v>
      </c>
      <c r="L476">
        <v>72</v>
      </c>
      <c r="M476">
        <v>71</v>
      </c>
      <c r="N476">
        <f>SUM(Table1[[#This Row],[Math_Marks]:[Social_Marks]])</f>
        <v>341</v>
      </c>
      <c r="O476">
        <f>AVERAGE(Table1[[#This Row],[Math_Marks]:[Social_Marks]])</f>
        <v>68.2</v>
      </c>
      <c r="P476" t="str">
        <f>IF(Table1[[#This Row],[Total_Marks]]&gt;=400,"Top Performer","Need Improvement")</f>
        <v>Need Improvement</v>
      </c>
      <c r="Q476" t="str">
        <f>IF(Table1[[#This Row],[Total_Marks]]&gt;=400,"Excellent",IF(Table1[[#This Row],[Total_Marks]]&gt;=300,"Good",IF(Table1[[#This Row],[Total_Marks]]&gt;=200,"Average","Below Average")))</f>
        <v>Good</v>
      </c>
    </row>
    <row r="477" spans="1:17" x14ac:dyDescent="0.3">
      <c r="A477" t="s">
        <v>488</v>
      </c>
      <c r="B477" t="s">
        <v>624</v>
      </c>
      <c r="C477" t="s">
        <v>827</v>
      </c>
      <c r="D477">
        <v>20</v>
      </c>
      <c r="E477" t="s">
        <v>832</v>
      </c>
      <c r="F477" t="s">
        <v>838</v>
      </c>
      <c r="G477">
        <v>82</v>
      </c>
      <c r="H477">
        <v>2</v>
      </c>
      <c r="I477">
        <v>51</v>
      </c>
      <c r="J477">
        <v>55</v>
      </c>
      <c r="K477">
        <v>49</v>
      </c>
      <c r="L477">
        <v>45</v>
      </c>
      <c r="M477">
        <v>43</v>
      </c>
      <c r="N477">
        <f>SUM(Table1[[#This Row],[Math_Marks]:[Social_Marks]])</f>
        <v>243</v>
      </c>
      <c r="O477">
        <f>AVERAGE(Table1[[#This Row],[Math_Marks]:[Social_Marks]])</f>
        <v>48.6</v>
      </c>
      <c r="P477" t="str">
        <f>IF(Table1[[#This Row],[Total_Marks]]&gt;=400,"Top Performer","Need Improvement")</f>
        <v>Need Improvement</v>
      </c>
      <c r="Q477" t="str">
        <f>IF(Table1[[#This Row],[Total_Marks]]&gt;=400,"Excellent",IF(Table1[[#This Row],[Total_Marks]]&gt;=300,"Good",IF(Table1[[#This Row],[Total_Marks]]&gt;=200,"Average","Below Average")))</f>
        <v>Average</v>
      </c>
    </row>
    <row r="478" spans="1:17" x14ac:dyDescent="0.3">
      <c r="A478" t="s">
        <v>489</v>
      </c>
      <c r="B478" t="s">
        <v>659</v>
      </c>
      <c r="C478" t="s">
        <v>827</v>
      </c>
      <c r="D478">
        <v>19</v>
      </c>
      <c r="E478" t="s">
        <v>834</v>
      </c>
      <c r="F478" t="s">
        <v>837</v>
      </c>
      <c r="G478">
        <v>72</v>
      </c>
      <c r="H478">
        <v>3.2</v>
      </c>
      <c r="I478">
        <v>53</v>
      </c>
      <c r="J478">
        <v>56</v>
      </c>
      <c r="K478">
        <v>46</v>
      </c>
      <c r="L478">
        <v>47</v>
      </c>
      <c r="M478">
        <v>55</v>
      </c>
      <c r="N478">
        <f>SUM(Table1[[#This Row],[Math_Marks]:[Social_Marks]])</f>
        <v>257</v>
      </c>
      <c r="O478">
        <f>AVERAGE(Table1[[#This Row],[Math_Marks]:[Social_Marks]])</f>
        <v>51.4</v>
      </c>
      <c r="P478" t="str">
        <f>IF(Table1[[#This Row],[Total_Marks]]&gt;=400,"Top Performer","Need Improvement")</f>
        <v>Need Improvement</v>
      </c>
      <c r="Q478" t="str">
        <f>IF(Table1[[#This Row],[Total_Marks]]&gt;=400,"Excellent",IF(Table1[[#This Row],[Total_Marks]]&gt;=300,"Good",IF(Table1[[#This Row],[Total_Marks]]&gt;=200,"Average","Below Average")))</f>
        <v>Average</v>
      </c>
    </row>
    <row r="479" spans="1:17" x14ac:dyDescent="0.3">
      <c r="A479" t="s">
        <v>490</v>
      </c>
      <c r="B479" t="s">
        <v>727</v>
      </c>
      <c r="C479" t="s">
        <v>828</v>
      </c>
      <c r="D479">
        <v>21</v>
      </c>
      <c r="E479" t="s">
        <v>833</v>
      </c>
      <c r="F479" t="s">
        <v>835</v>
      </c>
      <c r="G479">
        <v>89</v>
      </c>
      <c r="H479">
        <v>4.7</v>
      </c>
      <c r="I479">
        <v>60</v>
      </c>
      <c r="J479">
        <v>87</v>
      </c>
      <c r="K479">
        <v>79</v>
      </c>
      <c r="L479">
        <v>84</v>
      </c>
      <c r="M479">
        <v>79</v>
      </c>
      <c r="N479">
        <f>SUM(Table1[[#This Row],[Math_Marks]:[Social_Marks]])</f>
        <v>389</v>
      </c>
      <c r="O479">
        <f>AVERAGE(Table1[[#This Row],[Math_Marks]:[Social_Marks]])</f>
        <v>77.8</v>
      </c>
      <c r="P479" t="str">
        <f>IF(Table1[[#This Row],[Total_Marks]]&gt;=400,"Top Performer","Need Improvement")</f>
        <v>Need Improvement</v>
      </c>
      <c r="Q479" t="str">
        <f>IF(Table1[[#This Row],[Total_Marks]]&gt;=400,"Excellent",IF(Table1[[#This Row],[Total_Marks]]&gt;=300,"Good",IF(Table1[[#This Row],[Total_Marks]]&gt;=200,"Average","Below Average")))</f>
        <v>Good</v>
      </c>
    </row>
    <row r="480" spans="1:17" x14ac:dyDescent="0.3">
      <c r="A480" t="s">
        <v>491</v>
      </c>
      <c r="B480" t="s">
        <v>613</v>
      </c>
      <c r="C480" t="s">
        <v>827</v>
      </c>
      <c r="D480">
        <v>21</v>
      </c>
      <c r="E480" t="s">
        <v>830</v>
      </c>
      <c r="F480" t="s">
        <v>837</v>
      </c>
      <c r="G480">
        <v>79</v>
      </c>
      <c r="H480">
        <v>5.0999999999999996</v>
      </c>
      <c r="I480">
        <v>53</v>
      </c>
      <c r="J480">
        <v>74</v>
      </c>
      <c r="K480">
        <v>53</v>
      </c>
      <c r="L480">
        <v>56</v>
      </c>
      <c r="M480">
        <v>51</v>
      </c>
      <c r="N480">
        <f>SUM(Table1[[#This Row],[Math_Marks]:[Social_Marks]])</f>
        <v>287</v>
      </c>
      <c r="O480">
        <f>AVERAGE(Table1[[#This Row],[Math_Marks]:[Social_Marks]])</f>
        <v>57.4</v>
      </c>
      <c r="P480" t="str">
        <f>IF(Table1[[#This Row],[Total_Marks]]&gt;=400,"Top Performer","Need Improvement")</f>
        <v>Need Improvement</v>
      </c>
      <c r="Q480" t="str">
        <f>IF(Table1[[#This Row],[Total_Marks]]&gt;=400,"Excellent",IF(Table1[[#This Row],[Total_Marks]]&gt;=300,"Good",IF(Table1[[#This Row],[Total_Marks]]&gt;=200,"Average","Below Average")))</f>
        <v>Average</v>
      </c>
    </row>
    <row r="481" spans="1:17" x14ac:dyDescent="0.3">
      <c r="A481" t="s">
        <v>492</v>
      </c>
      <c r="B481" t="s">
        <v>739</v>
      </c>
      <c r="C481" t="s">
        <v>828</v>
      </c>
      <c r="D481">
        <v>20</v>
      </c>
      <c r="E481" t="s">
        <v>831</v>
      </c>
      <c r="F481" t="s">
        <v>840</v>
      </c>
      <c r="G481">
        <v>89</v>
      </c>
      <c r="H481">
        <v>2.8</v>
      </c>
      <c r="I481">
        <v>74</v>
      </c>
      <c r="J481">
        <v>76</v>
      </c>
      <c r="K481">
        <v>68</v>
      </c>
      <c r="L481">
        <v>93</v>
      </c>
      <c r="M481">
        <v>76</v>
      </c>
      <c r="N481">
        <f>SUM(Table1[[#This Row],[Math_Marks]:[Social_Marks]])</f>
        <v>387</v>
      </c>
      <c r="O481">
        <f>AVERAGE(Table1[[#This Row],[Math_Marks]:[Social_Marks]])</f>
        <v>77.400000000000006</v>
      </c>
      <c r="P481" t="str">
        <f>IF(Table1[[#This Row],[Total_Marks]]&gt;=400,"Top Performer","Need Improvement")</f>
        <v>Need Improvement</v>
      </c>
      <c r="Q481" t="str">
        <f>IF(Table1[[#This Row],[Total_Marks]]&gt;=400,"Excellent",IF(Table1[[#This Row],[Total_Marks]]&gt;=300,"Good",IF(Table1[[#This Row],[Total_Marks]]&gt;=200,"Average","Below Average")))</f>
        <v>Good</v>
      </c>
    </row>
    <row r="482" spans="1:17" x14ac:dyDescent="0.3">
      <c r="A482" t="s">
        <v>493</v>
      </c>
      <c r="B482" t="s">
        <v>730</v>
      </c>
      <c r="C482" t="s">
        <v>827</v>
      </c>
      <c r="D482">
        <v>19</v>
      </c>
      <c r="E482" t="s">
        <v>834</v>
      </c>
      <c r="F482" t="s">
        <v>842</v>
      </c>
      <c r="G482">
        <v>94</v>
      </c>
      <c r="H482">
        <v>6.4</v>
      </c>
      <c r="I482">
        <v>94</v>
      </c>
      <c r="J482">
        <v>78</v>
      </c>
      <c r="K482">
        <v>92</v>
      </c>
      <c r="L482">
        <v>78</v>
      </c>
      <c r="M482">
        <v>76</v>
      </c>
      <c r="N482">
        <f>SUM(Table1[[#This Row],[Math_Marks]:[Social_Marks]])</f>
        <v>418</v>
      </c>
      <c r="O482">
        <f>AVERAGE(Table1[[#This Row],[Math_Marks]:[Social_Marks]])</f>
        <v>83.6</v>
      </c>
      <c r="P482" t="str">
        <f>IF(Table1[[#This Row],[Total_Marks]]&gt;=400,"Top Performer","Need Improvement")</f>
        <v>Top Performer</v>
      </c>
      <c r="Q482" t="str">
        <f>IF(Table1[[#This Row],[Total_Marks]]&gt;=400,"Excellent",IF(Table1[[#This Row],[Total_Marks]]&gt;=300,"Good",IF(Table1[[#This Row],[Total_Marks]]&gt;=200,"Average","Below Average")))</f>
        <v>Excellent</v>
      </c>
    </row>
    <row r="483" spans="1:17" x14ac:dyDescent="0.3">
      <c r="A483" t="s">
        <v>494</v>
      </c>
      <c r="B483" t="s">
        <v>793</v>
      </c>
      <c r="C483" t="s">
        <v>827</v>
      </c>
      <c r="D483">
        <v>18</v>
      </c>
      <c r="E483" t="s">
        <v>833</v>
      </c>
      <c r="F483" t="s">
        <v>836</v>
      </c>
      <c r="G483">
        <v>86</v>
      </c>
      <c r="H483">
        <v>4.5999999999999996</v>
      </c>
      <c r="I483">
        <v>61</v>
      </c>
      <c r="J483">
        <v>49</v>
      </c>
      <c r="K483">
        <v>45</v>
      </c>
      <c r="L483">
        <v>67</v>
      </c>
      <c r="M483">
        <v>55</v>
      </c>
      <c r="N483">
        <f>SUM(Table1[[#This Row],[Math_Marks]:[Social_Marks]])</f>
        <v>277</v>
      </c>
      <c r="O483">
        <f>AVERAGE(Table1[[#This Row],[Math_Marks]:[Social_Marks]])</f>
        <v>55.4</v>
      </c>
      <c r="P483" t="str">
        <f>IF(Table1[[#This Row],[Total_Marks]]&gt;=400,"Top Performer","Need Improvement")</f>
        <v>Need Improvement</v>
      </c>
      <c r="Q483" t="str">
        <f>IF(Table1[[#This Row],[Total_Marks]]&gt;=400,"Excellent",IF(Table1[[#This Row],[Total_Marks]]&gt;=300,"Good",IF(Table1[[#This Row],[Total_Marks]]&gt;=200,"Average","Below Average")))</f>
        <v>Average</v>
      </c>
    </row>
    <row r="484" spans="1:17" x14ac:dyDescent="0.3">
      <c r="A484" t="s">
        <v>495</v>
      </c>
      <c r="B484" t="s">
        <v>725</v>
      </c>
      <c r="C484" t="s">
        <v>827</v>
      </c>
      <c r="D484">
        <v>19</v>
      </c>
      <c r="E484" t="s">
        <v>832</v>
      </c>
      <c r="F484" t="s">
        <v>837</v>
      </c>
      <c r="G484">
        <v>87</v>
      </c>
      <c r="H484">
        <v>2.8</v>
      </c>
      <c r="I484">
        <v>49</v>
      </c>
      <c r="J484">
        <v>45</v>
      </c>
      <c r="K484">
        <v>45</v>
      </c>
      <c r="L484">
        <v>64</v>
      </c>
      <c r="M484">
        <v>36</v>
      </c>
      <c r="N484">
        <f>SUM(Table1[[#This Row],[Math_Marks]:[Social_Marks]])</f>
        <v>239</v>
      </c>
      <c r="O484">
        <f>AVERAGE(Table1[[#This Row],[Math_Marks]:[Social_Marks]])</f>
        <v>47.8</v>
      </c>
      <c r="P484" t="str">
        <f>IF(Table1[[#This Row],[Total_Marks]]&gt;=400,"Top Performer","Need Improvement")</f>
        <v>Need Improvement</v>
      </c>
      <c r="Q484" t="str">
        <f>IF(Table1[[#This Row],[Total_Marks]]&gt;=400,"Excellent",IF(Table1[[#This Row],[Total_Marks]]&gt;=300,"Good",IF(Table1[[#This Row],[Total_Marks]]&gt;=200,"Average","Below Average")))</f>
        <v>Average</v>
      </c>
    </row>
    <row r="485" spans="1:17" x14ac:dyDescent="0.3">
      <c r="A485" t="s">
        <v>496</v>
      </c>
      <c r="B485" t="s">
        <v>708</v>
      </c>
      <c r="C485" t="s">
        <v>827</v>
      </c>
      <c r="D485">
        <v>20</v>
      </c>
      <c r="E485" t="s">
        <v>832</v>
      </c>
      <c r="F485" t="s">
        <v>835</v>
      </c>
      <c r="G485">
        <v>84</v>
      </c>
      <c r="H485">
        <v>4.4000000000000004</v>
      </c>
      <c r="I485">
        <v>54</v>
      </c>
      <c r="J485">
        <v>68</v>
      </c>
      <c r="K485">
        <v>75</v>
      </c>
      <c r="L485">
        <v>64</v>
      </c>
      <c r="M485">
        <v>53</v>
      </c>
      <c r="N485">
        <f>SUM(Table1[[#This Row],[Math_Marks]:[Social_Marks]])</f>
        <v>314</v>
      </c>
      <c r="O485">
        <f>AVERAGE(Table1[[#This Row],[Math_Marks]:[Social_Marks]])</f>
        <v>62.8</v>
      </c>
      <c r="P485" t="str">
        <f>IF(Table1[[#This Row],[Total_Marks]]&gt;=400,"Top Performer","Need Improvement")</f>
        <v>Need Improvement</v>
      </c>
      <c r="Q485" t="str">
        <f>IF(Table1[[#This Row],[Total_Marks]]&gt;=400,"Excellent",IF(Table1[[#This Row],[Total_Marks]]&gt;=300,"Good",IF(Table1[[#This Row],[Total_Marks]]&gt;=200,"Average","Below Average")))</f>
        <v>Good</v>
      </c>
    </row>
    <row r="486" spans="1:17" x14ac:dyDescent="0.3">
      <c r="A486" t="s">
        <v>497</v>
      </c>
      <c r="B486" t="s">
        <v>774</v>
      </c>
      <c r="C486" t="s">
        <v>827</v>
      </c>
      <c r="D486">
        <v>22</v>
      </c>
      <c r="E486" t="s">
        <v>829</v>
      </c>
      <c r="F486" t="s">
        <v>839</v>
      </c>
      <c r="G486">
        <v>95</v>
      </c>
      <c r="H486">
        <v>2.7</v>
      </c>
      <c r="I486">
        <v>67</v>
      </c>
      <c r="J486">
        <v>66</v>
      </c>
      <c r="K486">
        <v>56</v>
      </c>
      <c r="L486">
        <v>56</v>
      </c>
      <c r="M486">
        <v>70</v>
      </c>
      <c r="N486">
        <f>SUM(Table1[[#This Row],[Math_Marks]:[Social_Marks]])</f>
        <v>315</v>
      </c>
      <c r="O486">
        <f>AVERAGE(Table1[[#This Row],[Math_Marks]:[Social_Marks]])</f>
        <v>63</v>
      </c>
      <c r="P486" t="str">
        <f>IF(Table1[[#This Row],[Total_Marks]]&gt;=400,"Top Performer","Need Improvement")</f>
        <v>Need Improvement</v>
      </c>
      <c r="Q486" t="str">
        <f>IF(Table1[[#This Row],[Total_Marks]]&gt;=400,"Excellent",IF(Table1[[#This Row],[Total_Marks]]&gt;=300,"Good",IF(Table1[[#This Row],[Total_Marks]]&gt;=200,"Average","Below Average")))</f>
        <v>Good</v>
      </c>
    </row>
    <row r="487" spans="1:17" x14ac:dyDescent="0.3">
      <c r="A487" t="s">
        <v>498</v>
      </c>
      <c r="B487" t="s">
        <v>810</v>
      </c>
      <c r="C487" t="s">
        <v>827</v>
      </c>
      <c r="D487">
        <v>18</v>
      </c>
      <c r="E487" t="s">
        <v>829</v>
      </c>
      <c r="F487" t="s">
        <v>839</v>
      </c>
      <c r="G487">
        <v>83</v>
      </c>
      <c r="H487">
        <v>3.3</v>
      </c>
      <c r="I487">
        <v>78</v>
      </c>
      <c r="J487">
        <v>64</v>
      </c>
      <c r="K487">
        <v>64</v>
      </c>
      <c r="L487">
        <v>76</v>
      </c>
      <c r="M487">
        <v>70</v>
      </c>
      <c r="N487">
        <f>SUM(Table1[[#This Row],[Math_Marks]:[Social_Marks]])</f>
        <v>352</v>
      </c>
      <c r="O487">
        <f>AVERAGE(Table1[[#This Row],[Math_Marks]:[Social_Marks]])</f>
        <v>70.400000000000006</v>
      </c>
      <c r="P487" t="str">
        <f>IF(Table1[[#This Row],[Total_Marks]]&gt;=400,"Top Performer","Need Improvement")</f>
        <v>Need Improvement</v>
      </c>
      <c r="Q487" t="str">
        <f>IF(Table1[[#This Row],[Total_Marks]]&gt;=400,"Excellent",IF(Table1[[#This Row],[Total_Marks]]&gt;=300,"Good",IF(Table1[[#This Row],[Total_Marks]]&gt;=200,"Average","Below Average")))</f>
        <v>Good</v>
      </c>
    </row>
    <row r="488" spans="1:17" x14ac:dyDescent="0.3">
      <c r="A488" t="s">
        <v>499</v>
      </c>
      <c r="B488" t="s">
        <v>813</v>
      </c>
      <c r="C488" t="s">
        <v>827</v>
      </c>
      <c r="D488">
        <v>18</v>
      </c>
      <c r="E488" t="s">
        <v>834</v>
      </c>
      <c r="F488" t="s">
        <v>835</v>
      </c>
      <c r="G488">
        <v>93</v>
      </c>
      <c r="H488">
        <v>1</v>
      </c>
      <c r="I488">
        <v>63</v>
      </c>
      <c r="J488">
        <v>45</v>
      </c>
      <c r="K488">
        <v>52</v>
      </c>
      <c r="L488">
        <v>51</v>
      </c>
      <c r="M488">
        <v>57</v>
      </c>
      <c r="N488">
        <f>SUM(Table1[[#This Row],[Math_Marks]:[Social_Marks]])</f>
        <v>268</v>
      </c>
      <c r="O488">
        <f>AVERAGE(Table1[[#This Row],[Math_Marks]:[Social_Marks]])</f>
        <v>53.6</v>
      </c>
      <c r="P488" t="str">
        <f>IF(Table1[[#This Row],[Total_Marks]]&gt;=400,"Top Performer","Need Improvement")</f>
        <v>Need Improvement</v>
      </c>
      <c r="Q488" t="str">
        <f>IF(Table1[[#This Row],[Total_Marks]]&gt;=400,"Excellent",IF(Table1[[#This Row],[Total_Marks]]&gt;=300,"Good",IF(Table1[[#This Row],[Total_Marks]]&gt;=200,"Average","Below Average")))</f>
        <v>Average</v>
      </c>
    </row>
    <row r="489" spans="1:17" x14ac:dyDescent="0.3">
      <c r="A489" t="s">
        <v>500</v>
      </c>
      <c r="B489" t="s">
        <v>651</v>
      </c>
      <c r="C489" t="s">
        <v>827</v>
      </c>
      <c r="D489">
        <v>22</v>
      </c>
      <c r="E489" t="s">
        <v>834</v>
      </c>
      <c r="F489" t="s">
        <v>836</v>
      </c>
      <c r="G489">
        <v>86</v>
      </c>
      <c r="H489">
        <v>4.5999999999999996</v>
      </c>
      <c r="I489">
        <v>74</v>
      </c>
      <c r="J489">
        <v>73</v>
      </c>
      <c r="K489">
        <v>85</v>
      </c>
      <c r="L489">
        <v>80</v>
      </c>
      <c r="M489">
        <v>63</v>
      </c>
      <c r="N489">
        <f>SUM(Table1[[#This Row],[Math_Marks]:[Social_Marks]])</f>
        <v>375</v>
      </c>
      <c r="O489">
        <f>AVERAGE(Table1[[#This Row],[Math_Marks]:[Social_Marks]])</f>
        <v>75</v>
      </c>
      <c r="P489" t="str">
        <f>IF(Table1[[#This Row],[Total_Marks]]&gt;=400,"Top Performer","Need Improvement")</f>
        <v>Need Improvement</v>
      </c>
      <c r="Q489" t="str">
        <f>IF(Table1[[#This Row],[Total_Marks]]&gt;=400,"Excellent",IF(Table1[[#This Row],[Total_Marks]]&gt;=300,"Good",IF(Table1[[#This Row],[Total_Marks]]&gt;=200,"Average","Below Average")))</f>
        <v>Good</v>
      </c>
    </row>
    <row r="490" spans="1:17" x14ac:dyDescent="0.3">
      <c r="A490" t="s">
        <v>501</v>
      </c>
      <c r="B490" t="s">
        <v>814</v>
      </c>
      <c r="C490" t="s">
        <v>827</v>
      </c>
      <c r="D490">
        <v>19</v>
      </c>
      <c r="E490" t="s">
        <v>834</v>
      </c>
      <c r="F490" t="s">
        <v>838</v>
      </c>
      <c r="G490">
        <v>92</v>
      </c>
      <c r="H490">
        <v>4.0999999999999996</v>
      </c>
      <c r="I490">
        <v>70</v>
      </c>
      <c r="J490">
        <v>53</v>
      </c>
      <c r="K490">
        <v>68</v>
      </c>
      <c r="L490">
        <v>64</v>
      </c>
      <c r="M490">
        <v>60</v>
      </c>
      <c r="N490">
        <f>SUM(Table1[[#This Row],[Math_Marks]:[Social_Marks]])</f>
        <v>315</v>
      </c>
      <c r="O490">
        <f>AVERAGE(Table1[[#This Row],[Math_Marks]:[Social_Marks]])</f>
        <v>63</v>
      </c>
      <c r="P490" t="str">
        <f>IF(Table1[[#This Row],[Total_Marks]]&gt;=400,"Top Performer","Need Improvement")</f>
        <v>Need Improvement</v>
      </c>
      <c r="Q490" t="str">
        <f>IF(Table1[[#This Row],[Total_Marks]]&gt;=400,"Excellent",IF(Table1[[#This Row],[Total_Marks]]&gt;=300,"Good",IF(Table1[[#This Row],[Total_Marks]]&gt;=200,"Average","Below Average")))</f>
        <v>Good</v>
      </c>
    </row>
    <row r="491" spans="1:17" x14ac:dyDescent="0.3">
      <c r="A491" t="s">
        <v>502</v>
      </c>
      <c r="B491" t="s">
        <v>791</v>
      </c>
      <c r="C491" t="s">
        <v>828</v>
      </c>
      <c r="D491">
        <v>18</v>
      </c>
      <c r="E491" t="s">
        <v>834</v>
      </c>
      <c r="F491" t="s">
        <v>836</v>
      </c>
      <c r="G491">
        <v>76</v>
      </c>
      <c r="H491">
        <v>4.2</v>
      </c>
      <c r="I491">
        <v>65</v>
      </c>
      <c r="J491">
        <v>71</v>
      </c>
      <c r="K491">
        <v>78</v>
      </c>
      <c r="L491">
        <v>56</v>
      </c>
      <c r="M491">
        <v>71</v>
      </c>
      <c r="N491">
        <f>SUM(Table1[[#This Row],[Math_Marks]:[Social_Marks]])</f>
        <v>341</v>
      </c>
      <c r="O491">
        <f>AVERAGE(Table1[[#This Row],[Math_Marks]:[Social_Marks]])</f>
        <v>68.2</v>
      </c>
      <c r="P491" t="str">
        <f>IF(Table1[[#This Row],[Total_Marks]]&gt;=400,"Top Performer","Need Improvement")</f>
        <v>Need Improvement</v>
      </c>
      <c r="Q491" t="str">
        <f>IF(Table1[[#This Row],[Total_Marks]]&gt;=400,"Excellent",IF(Table1[[#This Row],[Total_Marks]]&gt;=300,"Good",IF(Table1[[#This Row],[Total_Marks]]&gt;=200,"Average","Below Average")))</f>
        <v>Good</v>
      </c>
    </row>
    <row r="492" spans="1:17" x14ac:dyDescent="0.3">
      <c r="A492" t="s">
        <v>503</v>
      </c>
      <c r="B492" t="s">
        <v>771</v>
      </c>
      <c r="C492" t="s">
        <v>827</v>
      </c>
      <c r="D492">
        <v>22</v>
      </c>
      <c r="E492" t="s">
        <v>831</v>
      </c>
      <c r="F492" t="s">
        <v>836</v>
      </c>
      <c r="G492">
        <v>83</v>
      </c>
      <c r="H492">
        <v>6.7</v>
      </c>
      <c r="I492">
        <v>76</v>
      </c>
      <c r="J492">
        <v>90</v>
      </c>
      <c r="K492">
        <v>69</v>
      </c>
      <c r="L492">
        <v>88</v>
      </c>
      <c r="M492">
        <v>74</v>
      </c>
      <c r="N492">
        <f>SUM(Table1[[#This Row],[Math_Marks]:[Social_Marks]])</f>
        <v>397</v>
      </c>
      <c r="O492">
        <f>AVERAGE(Table1[[#This Row],[Math_Marks]:[Social_Marks]])</f>
        <v>79.400000000000006</v>
      </c>
      <c r="P492" t="str">
        <f>IF(Table1[[#This Row],[Total_Marks]]&gt;=400,"Top Performer","Need Improvement")</f>
        <v>Need Improvement</v>
      </c>
      <c r="Q492" t="str">
        <f>IF(Table1[[#This Row],[Total_Marks]]&gt;=400,"Excellent",IF(Table1[[#This Row],[Total_Marks]]&gt;=300,"Good",IF(Table1[[#This Row],[Total_Marks]]&gt;=200,"Average","Below Average")))</f>
        <v>Good</v>
      </c>
    </row>
    <row r="493" spans="1:17" x14ac:dyDescent="0.3">
      <c r="A493" t="s">
        <v>504</v>
      </c>
      <c r="B493" t="s">
        <v>709</v>
      </c>
      <c r="C493" t="s">
        <v>828</v>
      </c>
      <c r="D493">
        <v>19</v>
      </c>
      <c r="E493" t="s">
        <v>832</v>
      </c>
      <c r="F493" t="s">
        <v>838</v>
      </c>
      <c r="G493">
        <v>81</v>
      </c>
      <c r="H493">
        <v>2.9</v>
      </c>
      <c r="I493">
        <v>68</v>
      </c>
      <c r="J493">
        <v>61</v>
      </c>
      <c r="K493">
        <v>58</v>
      </c>
      <c r="L493">
        <v>59</v>
      </c>
      <c r="M493">
        <v>69</v>
      </c>
      <c r="N493">
        <f>SUM(Table1[[#This Row],[Math_Marks]:[Social_Marks]])</f>
        <v>315</v>
      </c>
      <c r="O493">
        <f>AVERAGE(Table1[[#This Row],[Math_Marks]:[Social_Marks]])</f>
        <v>63</v>
      </c>
      <c r="P493" t="str">
        <f>IF(Table1[[#This Row],[Total_Marks]]&gt;=400,"Top Performer","Need Improvement")</f>
        <v>Need Improvement</v>
      </c>
      <c r="Q493" t="str">
        <f>IF(Table1[[#This Row],[Total_Marks]]&gt;=400,"Excellent",IF(Table1[[#This Row],[Total_Marks]]&gt;=300,"Good",IF(Table1[[#This Row],[Total_Marks]]&gt;=200,"Average","Below Average")))</f>
        <v>Good</v>
      </c>
    </row>
    <row r="494" spans="1:17" x14ac:dyDescent="0.3">
      <c r="A494" t="s">
        <v>505</v>
      </c>
      <c r="B494" t="s">
        <v>664</v>
      </c>
      <c r="C494" t="s">
        <v>827</v>
      </c>
      <c r="D494">
        <v>21</v>
      </c>
      <c r="E494" t="s">
        <v>833</v>
      </c>
      <c r="F494" t="s">
        <v>841</v>
      </c>
      <c r="G494">
        <v>85</v>
      </c>
      <c r="H494">
        <v>6.1</v>
      </c>
      <c r="I494">
        <v>72</v>
      </c>
      <c r="J494">
        <v>80</v>
      </c>
      <c r="K494">
        <v>75</v>
      </c>
      <c r="L494">
        <v>80</v>
      </c>
      <c r="M494">
        <v>95</v>
      </c>
      <c r="N494">
        <f>SUM(Table1[[#This Row],[Math_Marks]:[Social_Marks]])</f>
        <v>402</v>
      </c>
      <c r="O494">
        <f>AVERAGE(Table1[[#This Row],[Math_Marks]:[Social_Marks]])</f>
        <v>80.400000000000006</v>
      </c>
      <c r="P494" t="str">
        <f>IF(Table1[[#This Row],[Total_Marks]]&gt;=400,"Top Performer","Need Improvement")</f>
        <v>Top Performer</v>
      </c>
      <c r="Q494" t="str">
        <f>IF(Table1[[#This Row],[Total_Marks]]&gt;=400,"Excellent",IF(Table1[[#This Row],[Total_Marks]]&gt;=300,"Good",IF(Table1[[#This Row],[Total_Marks]]&gt;=200,"Average","Below Average")))</f>
        <v>Excellent</v>
      </c>
    </row>
    <row r="495" spans="1:17" x14ac:dyDescent="0.3">
      <c r="A495" t="s">
        <v>506</v>
      </c>
      <c r="B495" t="s">
        <v>812</v>
      </c>
      <c r="C495" t="s">
        <v>828</v>
      </c>
      <c r="D495">
        <v>19</v>
      </c>
      <c r="E495" t="s">
        <v>832</v>
      </c>
      <c r="F495" t="s">
        <v>839</v>
      </c>
      <c r="G495">
        <v>74</v>
      </c>
      <c r="H495">
        <v>4.2</v>
      </c>
      <c r="I495">
        <v>72</v>
      </c>
      <c r="J495">
        <v>78</v>
      </c>
      <c r="K495">
        <v>54</v>
      </c>
      <c r="L495">
        <v>78</v>
      </c>
      <c r="M495">
        <v>66</v>
      </c>
      <c r="N495">
        <f>SUM(Table1[[#This Row],[Math_Marks]:[Social_Marks]])</f>
        <v>348</v>
      </c>
      <c r="O495">
        <f>AVERAGE(Table1[[#This Row],[Math_Marks]:[Social_Marks]])</f>
        <v>69.599999999999994</v>
      </c>
      <c r="P495" t="str">
        <f>IF(Table1[[#This Row],[Total_Marks]]&gt;=400,"Top Performer","Need Improvement")</f>
        <v>Need Improvement</v>
      </c>
      <c r="Q495" t="str">
        <f>IF(Table1[[#This Row],[Total_Marks]]&gt;=400,"Excellent",IF(Table1[[#This Row],[Total_Marks]]&gt;=300,"Good",IF(Table1[[#This Row],[Total_Marks]]&gt;=200,"Average","Below Average")))</f>
        <v>Good</v>
      </c>
    </row>
    <row r="496" spans="1:17" x14ac:dyDescent="0.3">
      <c r="A496" t="s">
        <v>507</v>
      </c>
      <c r="B496" t="s">
        <v>674</v>
      </c>
      <c r="C496" t="s">
        <v>828</v>
      </c>
      <c r="D496">
        <v>19</v>
      </c>
      <c r="E496" t="s">
        <v>831</v>
      </c>
      <c r="F496" t="s">
        <v>835</v>
      </c>
      <c r="G496">
        <v>84</v>
      </c>
      <c r="H496">
        <v>5.5</v>
      </c>
      <c r="I496">
        <v>61</v>
      </c>
      <c r="J496">
        <v>52</v>
      </c>
      <c r="K496">
        <v>64</v>
      </c>
      <c r="L496">
        <v>67</v>
      </c>
      <c r="M496">
        <v>71</v>
      </c>
      <c r="N496">
        <f>SUM(Table1[[#This Row],[Math_Marks]:[Social_Marks]])</f>
        <v>315</v>
      </c>
      <c r="O496">
        <f>AVERAGE(Table1[[#This Row],[Math_Marks]:[Social_Marks]])</f>
        <v>63</v>
      </c>
      <c r="P496" t="str">
        <f>IF(Table1[[#This Row],[Total_Marks]]&gt;=400,"Top Performer","Need Improvement")</f>
        <v>Need Improvement</v>
      </c>
      <c r="Q496" t="str">
        <f>IF(Table1[[#This Row],[Total_Marks]]&gt;=400,"Excellent",IF(Table1[[#This Row],[Total_Marks]]&gt;=300,"Good",IF(Table1[[#This Row],[Total_Marks]]&gt;=200,"Average","Below Average")))</f>
        <v>Good</v>
      </c>
    </row>
    <row r="497" spans="1:17" x14ac:dyDescent="0.3">
      <c r="A497" t="s">
        <v>508</v>
      </c>
      <c r="B497" t="s">
        <v>651</v>
      </c>
      <c r="C497" t="s">
        <v>827</v>
      </c>
      <c r="D497">
        <v>18</v>
      </c>
      <c r="E497" t="s">
        <v>832</v>
      </c>
      <c r="F497" t="s">
        <v>840</v>
      </c>
      <c r="G497">
        <v>67</v>
      </c>
      <c r="H497">
        <v>4.7</v>
      </c>
      <c r="I497">
        <v>69</v>
      </c>
      <c r="J497">
        <v>62</v>
      </c>
      <c r="K497">
        <v>79</v>
      </c>
      <c r="L497">
        <v>62</v>
      </c>
      <c r="M497">
        <v>70</v>
      </c>
      <c r="N497">
        <f>SUM(Table1[[#This Row],[Math_Marks]:[Social_Marks]])</f>
        <v>342</v>
      </c>
      <c r="O497">
        <f>AVERAGE(Table1[[#This Row],[Math_Marks]:[Social_Marks]])</f>
        <v>68.400000000000006</v>
      </c>
      <c r="P497" t="str">
        <f>IF(Table1[[#This Row],[Total_Marks]]&gt;=400,"Top Performer","Need Improvement")</f>
        <v>Need Improvement</v>
      </c>
      <c r="Q497" t="str">
        <f>IF(Table1[[#This Row],[Total_Marks]]&gt;=400,"Excellent",IF(Table1[[#This Row],[Total_Marks]]&gt;=300,"Good",IF(Table1[[#This Row],[Total_Marks]]&gt;=200,"Average","Below Average")))</f>
        <v>Good</v>
      </c>
    </row>
    <row r="498" spans="1:17" x14ac:dyDescent="0.3">
      <c r="A498" t="s">
        <v>509</v>
      </c>
      <c r="B498" t="s">
        <v>758</v>
      </c>
      <c r="C498" t="s">
        <v>827</v>
      </c>
      <c r="D498">
        <v>20</v>
      </c>
      <c r="E498" t="s">
        <v>832</v>
      </c>
      <c r="F498" t="s">
        <v>842</v>
      </c>
      <c r="G498">
        <v>75</v>
      </c>
      <c r="H498">
        <v>3.9</v>
      </c>
      <c r="I498">
        <v>88</v>
      </c>
      <c r="J498">
        <v>58</v>
      </c>
      <c r="K498">
        <v>73</v>
      </c>
      <c r="L498">
        <v>61</v>
      </c>
      <c r="M498">
        <v>78</v>
      </c>
      <c r="N498">
        <f>SUM(Table1[[#This Row],[Math_Marks]:[Social_Marks]])</f>
        <v>358</v>
      </c>
      <c r="O498">
        <f>AVERAGE(Table1[[#This Row],[Math_Marks]:[Social_Marks]])</f>
        <v>71.599999999999994</v>
      </c>
      <c r="P498" t="str">
        <f>IF(Table1[[#This Row],[Total_Marks]]&gt;=400,"Top Performer","Need Improvement")</f>
        <v>Need Improvement</v>
      </c>
      <c r="Q498" t="str">
        <f>IF(Table1[[#This Row],[Total_Marks]]&gt;=400,"Excellent",IF(Table1[[#This Row],[Total_Marks]]&gt;=300,"Good",IF(Table1[[#This Row],[Total_Marks]]&gt;=200,"Average","Below Average")))</f>
        <v>Good</v>
      </c>
    </row>
    <row r="499" spans="1:17" x14ac:dyDescent="0.3">
      <c r="A499" t="s">
        <v>510</v>
      </c>
      <c r="B499" t="s">
        <v>634</v>
      </c>
      <c r="C499" t="s">
        <v>828</v>
      </c>
      <c r="D499">
        <v>21</v>
      </c>
      <c r="E499" t="s">
        <v>833</v>
      </c>
      <c r="F499" t="s">
        <v>836</v>
      </c>
      <c r="G499">
        <v>81</v>
      </c>
      <c r="H499">
        <v>4.3</v>
      </c>
      <c r="I499">
        <v>69</v>
      </c>
      <c r="J499">
        <v>59</v>
      </c>
      <c r="K499">
        <v>75</v>
      </c>
      <c r="L499">
        <v>69</v>
      </c>
      <c r="M499">
        <v>79</v>
      </c>
      <c r="N499">
        <f>SUM(Table1[[#This Row],[Math_Marks]:[Social_Marks]])</f>
        <v>351</v>
      </c>
      <c r="O499">
        <f>AVERAGE(Table1[[#This Row],[Math_Marks]:[Social_Marks]])</f>
        <v>70.2</v>
      </c>
      <c r="P499" t="str">
        <f>IF(Table1[[#This Row],[Total_Marks]]&gt;=400,"Top Performer","Need Improvement")</f>
        <v>Need Improvement</v>
      </c>
      <c r="Q499" t="str">
        <f>IF(Table1[[#This Row],[Total_Marks]]&gt;=400,"Excellent",IF(Table1[[#This Row],[Total_Marks]]&gt;=300,"Good",IF(Table1[[#This Row],[Total_Marks]]&gt;=200,"Average","Below Average")))</f>
        <v>Good</v>
      </c>
    </row>
    <row r="500" spans="1:17" x14ac:dyDescent="0.3">
      <c r="A500" t="s">
        <v>511</v>
      </c>
      <c r="B500" t="s">
        <v>815</v>
      </c>
      <c r="C500" t="s">
        <v>828</v>
      </c>
      <c r="D500">
        <v>21</v>
      </c>
      <c r="E500" t="s">
        <v>831</v>
      </c>
      <c r="F500" t="s">
        <v>835</v>
      </c>
      <c r="G500">
        <v>93</v>
      </c>
      <c r="H500">
        <v>4</v>
      </c>
      <c r="I500">
        <v>59</v>
      </c>
      <c r="J500">
        <v>80</v>
      </c>
      <c r="K500">
        <v>58</v>
      </c>
      <c r="L500">
        <v>60</v>
      </c>
      <c r="M500">
        <v>71</v>
      </c>
      <c r="N500">
        <f>SUM(Table1[[#This Row],[Math_Marks]:[Social_Marks]])</f>
        <v>328</v>
      </c>
      <c r="O500">
        <f>AVERAGE(Table1[[#This Row],[Math_Marks]:[Social_Marks]])</f>
        <v>65.599999999999994</v>
      </c>
      <c r="P500" t="str">
        <f>IF(Table1[[#This Row],[Total_Marks]]&gt;=400,"Top Performer","Need Improvement")</f>
        <v>Need Improvement</v>
      </c>
      <c r="Q500" t="str">
        <f>IF(Table1[[#This Row],[Total_Marks]]&gt;=400,"Excellent",IF(Table1[[#This Row],[Total_Marks]]&gt;=300,"Good",IF(Table1[[#This Row],[Total_Marks]]&gt;=200,"Average","Below Average")))</f>
        <v>Good</v>
      </c>
    </row>
    <row r="501" spans="1:17" x14ac:dyDescent="0.3">
      <c r="A501" t="s">
        <v>512</v>
      </c>
      <c r="B501" t="s">
        <v>657</v>
      </c>
      <c r="C501" t="s">
        <v>828</v>
      </c>
      <c r="D501">
        <v>20</v>
      </c>
      <c r="E501" t="s">
        <v>830</v>
      </c>
      <c r="F501" t="s">
        <v>839</v>
      </c>
      <c r="G501">
        <v>90</v>
      </c>
      <c r="H501">
        <v>4.5999999999999996</v>
      </c>
      <c r="I501">
        <v>60</v>
      </c>
      <c r="J501">
        <v>67</v>
      </c>
      <c r="K501">
        <v>60</v>
      </c>
      <c r="L501">
        <v>72</v>
      </c>
      <c r="M501">
        <v>75</v>
      </c>
      <c r="N501">
        <f>SUM(Table1[[#This Row],[Math_Marks]:[Social_Marks]])</f>
        <v>334</v>
      </c>
      <c r="O501">
        <f>AVERAGE(Table1[[#This Row],[Math_Marks]:[Social_Marks]])</f>
        <v>66.8</v>
      </c>
      <c r="P501" t="str">
        <f>IF(Table1[[#This Row],[Total_Marks]]&gt;=400,"Top Performer","Need Improvement")</f>
        <v>Need Improvement</v>
      </c>
      <c r="Q501" t="str">
        <f>IF(Table1[[#This Row],[Total_Marks]]&gt;=400,"Excellent",IF(Table1[[#This Row],[Total_Marks]]&gt;=300,"Good",IF(Table1[[#This Row],[Total_Marks]]&gt;=200,"Average","Below Average")))</f>
        <v>Good</v>
      </c>
    </row>
    <row r="502" spans="1:17" x14ac:dyDescent="0.3">
      <c r="A502" t="s">
        <v>513</v>
      </c>
      <c r="B502" t="s">
        <v>688</v>
      </c>
      <c r="C502" t="s">
        <v>828</v>
      </c>
      <c r="D502">
        <v>20</v>
      </c>
      <c r="E502" t="s">
        <v>830</v>
      </c>
      <c r="F502" t="s">
        <v>838</v>
      </c>
      <c r="G502">
        <v>79</v>
      </c>
      <c r="H502">
        <v>3.1</v>
      </c>
      <c r="I502">
        <v>61</v>
      </c>
      <c r="J502">
        <v>66</v>
      </c>
      <c r="K502">
        <v>56</v>
      </c>
      <c r="L502">
        <v>57</v>
      </c>
      <c r="M502">
        <v>69</v>
      </c>
      <c r="N502">
        <f>SUM(Table1[[#This Row],[Math_Marks]:[Social_Marks]])</f>
        <v>309</v>
      </c>
      <c r="O502">
        <f>AVERAGE(Table1[[#This Row],[Math_Marks]:[Social_Marks]])</f>
        <v>61.8</v>
      </c>
      <c r="P502" t="str">
        <f>IF(Table1[[#This Row],[Total_Marks]]&gt;=400,"Top Performer","Need Improvement")</f>
        <v>Need Improvement</v>
      </c>
      <c r="Q502" t="str">
        <f>IF(Table1[[#This Row],[Total_Marks]]&gt;=400,"Excellent",IF(Table1[[#This Row],[Total_Marks]]&gt;=300,"Good",IF(Table1[[#This Row],[Total_Marks]]&gt;=200,"Average","Below Average")))</f>
        <v>Good</v>
      </c>
    </row>
    <row r="503" spans="1:17" x14ac:dyDescent="0.3">
      <c r="A503" t="s">
        <v>514</v>
      </c>
      <c r="B503" t="s">
        <v>619</v>
      </c>
      <c r="C503" t="s">
        <v>828</v>
      </c>
      <c r="D503">
        <v>21</v>
      </c>
      <c r="E503" t="s">
        <v>834</v>
      </c>
      <c r="F503" t="s">
        <v>842</v>
      </c>
      <c r="G503">
        <v>77</v>
      </c>
      <c r="H503">
        <v>3.8</v>
      </c>
      <c r="I503">
        <v>80</v>
      </c>
      <c r="J503">
        <v>79</v>
      </c>
      <c r="K503">
        <v>88</v>
      </c>
      <c r="L503">
        <v>67</v>
      </c>
      <c r="M503">
        <v>65</v>
      </c>
      <c r="N503">
        <f>SUM(Table1[[#This Row],[Math_Marks]:[Social_Marks]])</f>
        <v>379</v>
      </c>
      <c r="O503">
        <f>AVERAGE(Table1[[#This Row],[Math_Marks]:[Social_Marks]])</f>
        <v>75.8</v>
      </c>
      <c r="P503" t="str">
        <f>IF(Table1[[#This Row],[Total_Marks]]&gt;=400,"Top Performer","Need Improvement")</f>
        <v>Need Improvement</v>
      </c>
      <c r="Q503" t="str">
        <f>IF(Table1[[#This Row],[Total_Marks]]&gt;=400,"Excellent",IF(Table1[[#This Row],[Total_Marks]]&gt;=300,"Good",IF(Table1[[#This Row],[Total_Marks]]&gt;=200,"Average","Below Average")))</f>
        <v>Good</v>
      </c>
    </row>
    <row r="504" spans="1:17" x14ac:dyDescent="0.3">
      <c r="A504" t="s">
        <v>515</v>
      </c>
      <c r="B504" t="s">
        <v>671</v>
      </c>
      <c r="C504" t="s">
        <v>827</v>
      </c>
      <c r="D504">
        <v>18</v>
      </c>
      <c r="E504" t="s">
        <v>830</v>
      </c>
      <c r="F504" t="s">
        <v>841</v>
      </c>
      <c r="G504">
        <v>80</v>
      </c>
      <c r="H504">
        <v>3</v>
      </c>
      <c r="I504">
        <v>69</v>
      </c>
      <c r="J504">
        <v>61</v>
      </c>
      <c r="K504">
        <v>71</v>
      </c>
      <c r="L504">
        <v>72</v>
      </c>
      <c r="M504">
        <v>60</v>
      </c>
      <c r="N504">
        <f>SUM(Table1[[#This Row],[Math_Marks]:[Social_Marks]])</f>
        <v>333</v>
      </c>
      <c r="O504">
        <f>AVERAGE(Table1[[#This Row],[Math_Marks]:[Social_Marks]])</f>
        <v>66.599999999999994</v>
      </c>
      <c r="P504" t="str">
        <f>IF(Table1[[#This Row],[Total_Marks]]&gt;=400,"Top Performer","Need Improvement")</f>
        <v>Need Improvement</v>
      </c>
      <c r="Q504" t="str">
        <f>IF(Table1[[#This Row],[Total_Marks]]&gt;=400,"Excellent",IF(Table1[[#This Row],[Total_Marks]]&gt;=300,"Good",IF(Table1[[#This Row],[Total_Marks]]&gt;=200,"Average","Below Average")))</f>
        <v>Good</v>
      </c>
    </row>
    <row r="505" spans="1:17" x14ac:dyDescent="0.3">
      <c r="A505" t="s">
        <v>516</v>
      </c>
      <c r="B505" t="s">
        <v>661</v>
      </c>
      <c r="C505" t="s">
        <v>828</v>
      </c>
      <c r="D505">
        <v>22</v>
      </c>
      <c r="E505" t="s">
        <v>833</v>
      </c>
      <c r="F505" t="s">
        <v>838</v>
      </c>
      <c r="G505">
        <v>75</v>
      </c>
      <c r="H505">
        <v>3.9</v>
      </c>
      <c r="I505">
        <v>52</v>
      </c>
      <c r="J505">
        <v>47</v>
      </c>
      <c r="K505">
        <v>58</v>
      </c>
      <c r="L505">
        <v>60</v>
      </c>
      <c r="M505">
        <v>60</v>
      </c>
      <c r="N505">
        <f>SUM(Table1[[#This Row],[Math_Marks]:[Social_Marks]])</f>
        <v>277</v>
      </c>
      <c r="O505">
        <f>AVERAGE(Table1[[#This Row],[Math_Marks]:[Social_Marks]])</f>
        <v>55.4</v>
      </c>
      <c r="P505" t="str">
        <f>IF(Table1[[#This Row],[Total_Marks]]&gt;=400,"Top Performer","Need Improvement")</f>
        <v>Need Improvement</v>
      </c>
      <c r="Q505" t="str">
        <f>IF(Table1[[#This Row],[Total_Marks]]&gt;=400,"Excellent",IF(Table1[[#This Row],[Total_Marks]]&gt;=300,"Good",IF(Table1[[#This Row],[Total_Marks]]&gt;=200,"Average","Below Average")))</f>
        <v>Average</v>
      </c>
    </row>
    <row r="506" spans="1:17" x14ac:dyDescent="0.3">
      <c r="A506" t="s">
        <v>517</v>
      </c>
      <c r="B506" t="s">
        <v>656</v>
      </c>
      <c r="C506" t="s">
        <v>827</v>
      </c>
      <c r="D506">
        <v>22</v>
      </c>
      <c r="E506" t="s">
        <v>830</v>
      </c>
      <c r="F506" t="s">
        <v>836</v>
      </c>
      <c r="G506">
        <v>68</v>
      </c>
      <c r="H506">
        <v>2.9</v>
      </c>
      <c r="I506">
        <v>51</v>
      </c>
      <c r="J506">
        <v>55</v>
      </c>
      <c r="K506">
        <v>66</v>
      </c>
      <c r="L506">
        <v>61</v>
      </c>
      <c r="M506">
        <v>47</v>
      </c>
      <c r="N506">
        <f>SUM(Table1[[#This Row],[Math_Marks]:[Social_Marks]])</f>
        <v>280</v>
      </c>
      <c r="O506">
        <f>AVERAGE(Table1[[#This Row],[Math_Marks]:[Social_Marks]])</f>
        <v>56</v>
      </c>
      <c r="P506" t="str">
        <f>IF(Table1[[#This Row],[Total_Marks]]&gt;=400,"Top Performer","Need Improvement")</f>
        <v>Need Improvement</v>
      </c>
      <c r="Q506" t="str">
        <f>IF(Table1[[#This Row],[Total_Marks]]&gt;=400,"Excellent",IF(Table1[[#This Row],[Total_Marks]]&gt;=300,"Good",IF(Table1[[#This Row],[Total_Marks]]&gt;=200,"Average","Below Average")))</f>
        <v>Average</v>
      </c>
    </row>
    <row r="507" spans="1:17" x14ac:dyDescent="0.3">
      <c r="A507" t="s">
        <v>518</v>
      </c>
      <c r="B507" t="s">
        <v>743</v>
      </c>
      <c r="C507" t="s">
        <v>827</v>
      </c>
      <c r="D507">
        <v>21</v>
      </c>
      <c r="E507" t="s">
        <v>832</v>
      </c>
      <c r="F507" t="s">
        <v>840</v>
      </c>
      <c r="G507">
        <v>89</v>
      </c>
      <c r="H507">
        <v>3.6</v>
      </c>
      <c r="I507">
        <v>59</v>
      </c>
      <c r="J507">
        <v>57</v>
      </c>
      <c r="K507">
        <v>53</v>
      </c>
      <c r="L507">
        <v>55</v>
      </c>
      <c r="M507">
        <v>49</v>
      </c>
      <c r="N507">
        <f>SUM(Table1[[#This Row],[Math_Marks]:[Social_Marks]])</f>
        <v>273</v>
      </c>
      <c r="O507">
        <f>AVERAGE(Table1[[#This Row],[Math_Marks]:[Social_Marks]])</f>
        <v>54.6</v>
      </c>
      <c r="P507" t="str">
        <f>IF(Table1[[#This Row],[Total_Marks]]&gt;=400,"Top Performer","Need Improvement")</f>
        <v>Need Improvement</v>
      </c>
      <c r="Q507" t="str">
        <f>IF(Table1[[#This Row],[Total_Marks]]&gt;=400,"Excellent",IF(Table1[[#This Row],[Total_Marks]]&gt;=300,"Good",IF(Table1[[#This Row],[Total_Marks]]&gt;=200,"Average","Below Average")))</f>
        <v>Average</v>
      </c>
    </row>
    <row r="508" spans="1:17" x14ac:dyDescent="0.3">
      <c r="A508" t="s">
        <v>519</v>
      </c>
      <c r="B508" t="s">
        <v>691</v>
      </c>
      <c r="C508" t="s">
        <v>828</v>
      </c>
      <c r="D508">
        <v>20</v>
      </c>
      <c r="E508" t="s">
        <v>832</v>
      </c>
      <c r="F508" t="s">
        <v>840</v>
      </c>
      <c r="G508">
        <v>85</v>
      </c>
      <c r="H508">
        <v>2.1</v>
      </c>
      <c r="I508">
        <v>34</v>
      </c>
      <c r="J508">
        <v>56</v>
      </c>
      <c r="K508">
        <v>42</v>
      </c>
      <c r="L508">
        <v>53</v>
      </c>
      <c r="M508">
        <v>55</v>
      </c>
      <c r="N508">
        <f>SUM(Table1[[#This Row],[Math_Marks]:[Social_Marks]])</f>
        <v>240</v>
      </c>
      <c r="O508">
        <f>AVERAGE(Table1[[#This Row],[Math_Marks]:[Social_Marks]])</f>
        <v>48</v>
      </c>
      <c r="P508" t="str">
        <f>IF(Table1[[#This Row],[Total_Marks]]&gt;=400,"Top Performer","Need Improvement")</f>
        <v>Need Improvement</v>
      </c>
      <c r="Q508" t="str">
        <f>IF(Table1[[#This Row],[Total_Marks]]&gt;=400,"Excellent",IF(Table1[[#This Row],[Total_Marks]]&gt;=300,"Good",IF(Table1[[#This Row],[Total_Marks]]&gt;=200,"Average","Below Average")))</f>
        <v>Average</v>
      </c>
    </row>
    <row r="509" spans="1:17" x14ac:dyDescent="0.3">
      <c r="A509" t="s">
        <v>520</v>
      </c>
      <c r="B509" t="s">
        <v>808</v>
      </c>
      <c r="C509" t="s">
        <v>828</v>
      </c>
      <c r="D509">
        <v>19</v>
      </c>
      <c r="E509" t="s">
        <v>830</v>
      </c>
      <c r="F509" t="s">
        <v>835</v>
      </c>
      <c r="G509">
        <v>97</v>
      </c>
      <c r="H509">
        <v>6.4</v>
      </c>
      <c r="I509">
        <v>88</v>
      </c>
      <c r="J509">
        <v>77</v>
      </c>
      <c r="K509">
        <v>91</v>
      </c>
      <c r="L509">
        <v>84</v>
      </c>
      <c r="M509">
        <v>89</v>
      </c>
      <c r="N509">
        <f>SUM(Table1[[#This Row],[Math_Marks]:[Social_Marks]])</f>
        <v>429</v>
      </c>
      <c r="O509">
        <f>AVERAGE(Table1[[#This Row],[Math_Marks]:[Social_Marks]])</f>
        <v>85.8</v>
      </c>
      <c r="P509" t="str">
        <f>IF(Table1[[#This Row],[Total_Marks]]&gt;=400,"Top Performer","Need Improvement")</f>
        <v>Top Performer</v>
      </c>
      <c r="Q509" t="str">
        <f>IF(Table1[[#This Row],[Total_Marks]]&gt;=400,"Excellent",IF(Table1[[#This Row],[Total_Marks]]&gt;=300,"Good",IF(Table1[[#This Row],[Total_Marks]]&gt;=200,"Average","Below Average")))</f>
        <v>Excellent</v>
      </c>
    </row>
    <row r="510" spans="1:17" x14ac:dyDescent="0.3">
      <c r="A510" t="s">
        <v>521</v>
      </c>
      <c r="B510" t="s">
        <v>631</v>
      </c>
      <c r="C510" t="s">
        <v>828</v>
      </c>
      <c r="D510">
        <v>18</v>
      </c>
      <c r="E510" t="s">
        <v>834</v>
      </c>
      <c r="F510" t="s">
        <v>840</v>
      </c>
      <c r="G510">
        <v>84</v>
      </c>
      <c r="H510">
        <v>4.5</v>
      </c>
      <c r="I510">
        <v>53</v>
      </c>
      <c r="J510">
        <v>76</v>
      </c>
      <c r="K510">
        <v>83</v>
      </c>
      <c r="L510">
        <v>67</v>
      </c>
      <c r="M510">
        <v>53</v>
      </c>
      <c r="N510">
        <f>SUM(Table1[[#This Row],[Math_Marks]:[Social_Marks]])</f>
        <v>332</v>
      </c>
      <c r="O510">
        <f>AVERAGE(Table1[[#This Row],[Math_Marks]:[Social_Marks]])</f>
        <v>66.400000000000006</v>
      </c>
      <c r="P510" t="str">
        <f>IF(Table1[[#This Row],[Total_Marks]]&gt;=400,"Top Performer","Need Improvement")</f>
        <v>Need Improvement</v>
      </c>
      <c r="Q510" t="str">
        <f>IF(Table1[[#This Row],[Total_Marks]]&gt;=400,"Excellent",IF(Table1[[#This Row],[Total_Marks]]&gt;=300,"Good",IF(Table1[[#This Row],[Total_Marks]]&gt;=200,"Average","Below Average")))</f>
        <v>Good</v>
      </c>
    </row>
    <row r="511" spans="1:17" x14ac:dyDescent="0.3">
      <c r="A511" t="s">
        <v>522</v>
      </c>
      <c r="B511" t="s">
        <v>636</v>
      </c>
      <c r="C511" t="s">
        <v>828</v>
      </c>
      <c r="D511">
        <v>18</v>
      </c>
      <c r="E511" t="s">
        <v>834</v>
      </c>
      <c r="F511" t="s">
        <v>838</v>
      </c>
      <c r="G511">
        <v>71</v>
      </c>
      <c r="H511">
        <v>3.6</v>
      </c>
      <c r="I511">
        <v>69</v>
      </c>
      <c r="J511">
        <v>60</v>
      </c>
      <c r="K511">
        <v>50</v>
      </c>
      <c r="L511">
        <v>67</v>
      </c>
      <c r="M511">
        <v>71</v>
      </c>
      <c r="N511">
        <f>SUM(Table1[[#This Row],[Math_Marks]:[Social_Marks]])</f>
        <v>317</v>
      </c>
      <c r="O511">
        <f>AVERAGE(Table1[[#This Row],[Math_Marks]:[Social_Marks]])</f>
        <v>63.4</v>
      </c>
      <c r="P511" t="str">
        <f>IF(Table1[[#This Row],[Total_Marks]]&gt;=400,"Top Performer","Need Improvement")</f>
        <v>Need Improvement</v>
      </c>
      <c r="Q511" t="str">
        <f>IF(Table1[[#This Row],[Total_Marks]]&gt;=400,"Excellent",IF(Table1[[#This Row],[Total_Marks]]&gt;=300,"Good",IF(Table1[[#This Row],[Total_Marks]]&gt;=200,"Average","Below Average")))</f>
        <v>Good</v>
      </c>
    </row>
    <row r="512" spans="1:17" x14ac:dyDescent="0.3">
      <c r="A512" t="s">
        <v>523</v>
      </c>
      <c r="B512" t="s">
        <v>646</v>
      </c>
      <c r="C512" t="s">
        <v>828</v>
      </c>
      <c r="D512">
        <v>19</v>
      </c>
      <c r="E512" t="s">
        <v>830</v>
      </c>
      <c r="F512" t="s">
        <v>840</v>
      </c>
      <c r="G512">
        <v>74</v>
      </c>
      <c r="H512">
        <v>5.3</v>
      </c>
      <c r="I512">
        <v>75</v>
      </c>
      <c r="J512">
        <v>83</v>
      </c>
      <c r="K512">
        <v>63</v>
      </c>
      <c r="L512">
        <v>67</v>
      </c>
      <c r="M512">
        <v>72</v>
      </c>
      <c r="N512">
        <f>SUM(Table1[[#This Row],[Math_Marks]:[Social_Marks]])</f>
        <v>360</v>
      </c>
      <c r="O512">
        <f>AVERAGE(Table1[[#This Row],[Math_Marks]:[Social_Marks]])</f>
        <v>72</v>
      </c>
      <c r="P512" t="str">
        <f>IF(Table1[[#This Row],[Total_Marks]]&gt;=400,"Top Performer","Need Improvement")</f>
        <v>Need Improvement</v>
      </c>
      <c r="Q512" t="str">
        <f>IF(Table1[[#This Row],[Total_Marks]]&gt;=400,"Excellent",IF(Table1[[#This Row],[Total_Marks]]&gt;=300,"Good",IF(Table1[[#This Row],[Total_Marks]]&gt;=200,"Average","Below Average")))</f>
        <v>Good</v>
      </c>
    </row>
    <row r="513" spans="1:17" x14ac:dyDescent="0.3">
      <c r="A513" t="s">
        <v>524</v>
      </c>
      <c r="B513" t="s">
        <v>748</v>
      </c>
      <c r="C513" t="s">
        <v>827</v>
      </c>
      <c r="D513">
        <v>21</v>
      </c>
      <c r="E513" t="s">
        <v>833</v>
      </c>
      <c r="F513" t="s">
        <v>840</v>
      </c>
      <c r="G513">
        <v>73</v>
      </c>
      <c r="H513">
        <v>3.9</v>
      </c>
      <c r="I513">
        <v>71</v>
      </c>
      <c r="J513">
        <v>67</v>
      </c>
      <c r="K513">
        <v>68</v>
      </c>
      <c r="L513">
        <v>66</v>
      </c>
      <c r="M513">
        <v>62</v>
      </c>
      <c r="N513">
        <f>SUM(Table1[[#This Row],[Math_Marks]:[Social_Marks]])</f>
        <v>334</v>
      </c>
      <c r="O513">
        <f>AVERAGE(Table1[[#This Row],[Math_Marks]:[Social_Marks]])</f>
        <v>66.8</v>
      </c>
      <c r="P513" t="str">
        <f>IF(Table1[[#This Row],[Total_Marks]]&gt;=400,"Top Performer","Need Improvement")</f>
        <v>Need Improvement</v>
      </c>
      <c r="Q513" t="str">
        <f>IF(Table1[[#This Row],[Total_Marks]]&gt;=400,"Excellent",IF(Table1[[#This Row],[Total_Marks]]&gt;=300,"Good",IF(Table1[[#This Row],[Total_Marks]]&gt;=200,"Average","Below Average")))</f>
        <v>Good</v>
      </c>
    </row>
    <row r="514" spans="1:17" x14ac:dyDescent="0.3">
      <c r="A514" t="s">
        <v>525</v>
      </c>
      <c r="B514" t="s">
        <v>662</v>
      </c>
      <c r="C514" t="s">
        <v>827</v>
      </c>
      <c r="D514">
        <v>21</v>
      </c>
      <c r="E514" t="s">
        <v>831</v>
      </c>
      <c r="F514" t="s">
        <v>836</v>
      </c>
      <c r="G514">
        <v>97</v>
      </c>
      <c r="H514">
        <v>5.8</v>
      </c>
      <c r="I514">
        <v>83</v>
      </c>
      <c r="J514">
        <v>79</v>
      </c>
      <c r="K514">
        <v>70</v>
      </c>
      <c r="L514">
        <v>78</v>
      </c>
      <c r="M514">
        <v>81</v>
      </c>
      <c r="N514">
        <f>SUM(Table1[[#This Row],[Math_Marks]:[Social_Marks]])</f>
        <v>391</v>
      </c>
      <c r="O514">
        <f>AVERAGE(Table1[[#This Row],[Math_Marks]:[Social_Marks]])</f>
        <v>78.2</v>
      </c>
      <c r="P514" t="str">
        <f>IF(Table1[[#This Row],[Total_Marks]]&gt;=400,"Top Performer","Need Improvement")</f>
        <v>Need Improvement</v>
      </c>
      <c r="Q514" t="str">
        <f>IF(Table1[[#This Row],[Total_Marks]]&gt;=400,"Excellent",IF(Table1[[#This Row],[Total_Marks]]&gt;=300,"Good",IF(Table1[[#This Row],[Total_Marks]]&gt;=200,"Average","Below Average")))</f>
        <v>Good</v>
      </c>
    </row>
    <row r="515" spans="1:17" x14ac:dyDescent="0.3">
      <c r="A515" t="s">
        <v>526</v>
      </c>
      <c r="B515" t="s">
        <v>782</v>
      </c>
      <c r="C515" t="s">
        <v>827</v>
      </c>
      <c r="D515">
        <v>20</v>
      </c>
      <c r="E515" t="s">
        <v>834</v>
      </c>
      <c r="F515" t="s">
        <v>838</v>
      </c>
      <c r="G515">
        <v>75</v>
      </c>
      <c r="H515">
        <v>2.8</v>
      </c>
      <c r="I515">
        <v>75</v>
      </c>
      <c r="J515">
        <v>66</v>
      </c>
      <c r="K515">
        <v>68</v>
      </c>
      <c r="L515">
        <v>68</v>
      </c>
      <c r="M515">
        <v>69</v>
      </c>
      <c r="N515">
        <f>SUM(Table1[[#This Row],[Math_Marks]:[Social_Marks]])</f>
        <v>346</v>
      </c>
      <c r="O515">
        <f>AVERAGE(Table1[[#This Row],[Math_Marks]:[Social_Marks]])</f>
        <v>69.2</v>
      </c>
      <c r="P515" t="str">
        <f>IF(Table1[[#This Row],[Total_Marks]]&gt;=400,"Top Performer","Need Improvement")</f>
        <v>Need Improvement</v>
      </c>
      <c r="Q515" t="str">
        <f>IF(Table1[[#This Row],[Total_Marks]]&gt;=400,"Excellent",IF(Table1[[#This Row],[Total_Marks]]&gt;=300,"Good",IF(Table1[[#This Row],[Total_Marks]]&gt;=200,"Average","Below Average")))</f>
        <v>Good</v>
      </c>
    </row>
    <row r="516" spans="1:17" x14ac:dyDescent="0.3">
      <c r="A516" t="s">
        <v>527</v>
      </c>
      <c r="B516" t="s">
        <v>692</v>
      </c>
      <c r="C516" t="s">
        <v>827</v>
      </c>
      <c r="D516">
        <v>19</v>
      </c>
      <c r="E516" t="s">
        <v>830</v>
      </c>
      <c r="F516" t="s">
        <v>836</v>
      </c>
      <c r="G516">
        <v>87</v>
      </c>
      <c r="H516">
        <v>1.3</v>
      </c>
      <c r="I516">
        <v>62</v>
      </c>
      <c r="J516">
        <v>55</v>
      </c>
      <c r="K516">
        <v>30</v>
      </c>
      <c r="L516">
        <v>57</v>
      </c>
      <c r="M516">
        <v>67</v>
      </c>
      <c r="N516">
        <f>SUM(Table1[[#This Row],[Math_Marks]:[Social_Marks]])</f>
        <v>271</v>
      </c>
      <c r="O516">
        <f>AVERAGE(Table1[[#This Row],[Math_Marks]:[Social_Marks]])</f>
        <v>54.2</v>
      </c>
      <c r="P516" t="str">
        <f>IF(Table1[[#This Row],[Total_Marks]]&gt;=400,"Top Performer","Need Improvement")</f>
        <v>Need Improvement</v>
      </c>
      <c r="Q516" t="str">
        <f>IF(Table1[[#This Row],[Total_Marks]]&gt;=400,"Excellent",IF(Table1[[#This Row],[Total_Marks]]&gt;=300,"Good",IF(Table1[[#This Row],[Total_Marks]]&gt;=200,"Average","Below Average")))</f>
        <v>Average</v>
      </c>
    </row>
    <row r="517" spans="1:17" x14ac:dyDescent="0.3">
      <c r="A517" t="s">
        <v>528</v>
      </c>
      <c r="B517" t="s">
        <v>754</v>
      </c>
      <c r="C517" t="s">
        <v>828</v>
      </c>
      <c r="D517">
        <v>22</v>
      </c>
      <c r="E517" t="s">
        <v>829</v>
      </c>
      <c r="F517" t="s">
        <v>837</v>
      </c>
      <c r="G517">
        <v>90</v>
      </c>
      <c r="H517">
        <v>3.8</v>
      </c>
      <c r="I517">
        <v>53</v>
      </c>
      <c r="J517">
        <v>59</v>
      </c>
      <c r="K517">
        <v>52</v>
      </c>
      <c r="L517">
        <v>54</v>
      </c>
      <c r="M517">
        <v>46</v>
      </c>
      <c r="N517">
        <f>SUM(Table1[[#This Row],[Math_Marks]:[Social_Marks]])</f>
        <v>264</v>
      </c>
      <c r="O517">
        <f>AVERAGE(Table1[[#This Row],[Math_Marks]:[Social_Marks]])</f>
        <v>52.8</v>
      </c>
      <c r="P517" t="str">
        <f>IF(Table1[[#This Row],[Total_Marks]]&gt;=400,"Top Performer","Need Improvement")</f>
        <v>Need Improvement</v>
      </c>
      <c r="Q517" t="str">
        <f>IF(Table1[[#This Row],[Total_Marks]]&gt;=400,"Excellent",IF(Table1[[#This Row],[Total_Marks]]&gt;=300,"Good",IF(Table1[[#This Row],[Total_Marks]]&gt;=200,"Average","Below Average")))</f>
        <v>Average</v>
      </c>
    </row>
    <row r="518" spans="1:17" x14ac:dyDescent="0.3">
      <c r="A518" t="s">
        <v>529</v>
      </c>
      <c r="B518" t="s">
        <v>816</v>
      </c>
      <c r="C518" t="s">
        <v>827</v>
      </c>
      <c r="D518">
        <v>19</v>
      </c>
      <c r="E518" t="s">
        <v>833</v>
      </c>
      <c r="F518" t="s">
        <v>840</v>
      </c>
      <c r="G518">
        <v>92</v>
      </c>
      <c r="H518">
        <v>1</v>
      </c>
      <c r="I518">
        <v>38</v>
      </c>
      <c r="J518">
        <v>32</v>
      </c>
      <c r="K518">
        <v>45</v>
      </c>
      <c r="L518">
        <v>48</v>
      </c>
      <c r="M518">
        <v>33</v>
      </c>
      <c r="N518">
        <f>SUM(Table1[[#This Row],[Math_Marks]:[Social_Marks]])</f>
        <v>196</v>
      </c>
      <c r="O518">
        <f>AVERAGE(Table1[[#This Row],[Math_Marks]:[Social_Marks]])</f>
        <v>39.200000000000003</v>
      </c>
      <c r="P518" t="str">
        <f>IF(Table1[[#This Row],[Total_Marks]]&gt;=400,"Top Performer","Need Improvement")</f>
        <v>Need Improvement</v>
      </c>
      <c r="Q518" t="str">
        <f>IF(Table1[[#This Row],[Total_Marks]]&gt;=400,"Excellent",IF(Table1[[#This Row],[Total_Marks]]&gt;=300,"Good",IF(Table1[[#This Row],[Total_Marks]]&gt;=200,"Average","Below Average")))</f>
        <v>Below Average</v>
      </c>
    </row>
    <row r="519" spans="1:17" x14ac:dyDescent="0.3">
      <c r="A519" t="s">
        <v>530</v>
      </c>
      <c r="B519" t="s">
        <v>641</v>
      </c>
      <c r="C519" t="s">
        <v>828</v>
      </c>
      <c r="D519">
        <v>18</v>
      </c>
      <c r="E519" t="s">
        <v>834</v>
      </c>
      <c r="F519" t="s">
        <v>837</v>
      </c>
      <c r="G519">
        <v>80</v>
      </c>
      <c r="H519">
        <v>1</v>
      </c>
      <c r="I519">
        <v>50</v>
      </c>
      <c r="J519">
        <v>52</v>
      </c>
      <c r="K519">
        <v>53</v>
      </c>
      <c r="L519">
        <v>52</v>
      </c>
      <c r="M519">
        <v>48</v>
      </c>
      <c r="N519">
        <f>SUM(Table1[[#This Row],[Math_Marks]:[Social_Marks]])</f>
        <v>255</v>
      </c>
      <c r="O519">
        <f>AVERAGE(Table1[[#This Row],[Math_Marks]:[Social_Marks]])</f>
        <v>51</v>
      </c>
      <c r="P519" t="str">
        <f>IF(Table1[[#This Row],[Total_Marks]]&gt;=400,"Top Performer","Need Improvement")</f>
        <v>Need Improvement</v>
      </c>
      <c r="Q519" t="str">
        <f>IF(Table1[[#This Row],[Total_Marks]]&gt;=400,"Excellent",IF(Table1[[#This Row],[Total_Marks]]&gt;=300,"Good",IF(Table1[[#This Row],[Total_Marks]]&gt;=200,"Average","Below Average")))</f>
        <v>Average</v>
      </c>
    </row>
    <row r="520" spans="1:17" x14ac:dyDescent="0.3">
      <c r="A520" t="s">
        <v>531</v>
      </c>
      <c r="B520" t="s">
        <v>624</v>
      </c>
      <c r="C520" t="s">
        <v>828</v>
      </c>
      <c r="D520">
        <v>21</v>
      </c>
      <c r="E520" t="s">
        <v>830</v>
      </c>
      <c r="F520" t="s">
        <v>835</v>
      </c>
      <c r="G520">
        <v>84</v>
      </c>
      <c r="H520">
        <v>3.5</v>
      </c>
      <c r="I520">
        <v>63</v>
      </c>
      <c r="J520">
        <v>55</v>
      </c>
      <c r="K520">
        <v>62</v>
      </c>
      <c r="L520">
        <v>59</v>
      </c>
      <c r="M520">
        <v>57</v>
      </c>
      <c r="N520">
        <f>SUM(Table1[[#This Row],[Math_Marks]:[Social_Marks]])</f>
        <v>296</v>
      </c>
      <c r="O520">
        <f>AVERAGE(Table1[[#This Row],[Math_Marks]:[Social_Marks]])</f>
        <v>59.2</v>
      </c>
      <c r="P520" t="str">
        <f>IF(Table1[[#This Row],[Total_Marks]]&gt;=400,"Top Performer","Need Improvement")</f>
        <v>Need Improvement</v>
      </c>
      <c r="Q520" t="str">
        <f>IF(Table1[[#This Row],[Total_Marks]]&gt;=400,"Excellent",IF(Table1[[#This Row],[Total_Marks]]&gt;=300,"Good",IF(Table1[[#This Row],[Total_Marks]]&gt;=200,"Average","Below Average")))</f>
        <v>Average</v>
      </c>
    </row>
    <row r="521" spans="1:17" x14ac:dyDescent="0.3">
      <c r="A521" t="s">
        <v>532</v>
      </c>
      <c r="B521" t="s">
        <v>749</v>
      </c>
      <c r="C521" t="s">
        <v>828</v>
      </c>
      <c r="D521">
        <v>20</v>
      </c>
      <c r="E521" t="s">
        <v>834</v>
      </c>
      <c r="F521" t="s">
        <v>837</v>
      </c>
      <c r="G521">
        <v>85</v>
      </c>
      <c r="H521">
        <v>4.0999999999999996</v>
      </c>
      <c r="I521">
        <v>68</v>
      </c>
      <c r="J521">
        <v>87</v>
      </c>
      <c r="K521">
        <v>69</v>
      </c>
      <c r="L521">
        <v>65</v>
      </c>
      <c r="M521">
        <v>64</v>
      </c>
      <c r="N521">
        <f>SUM(Table1[[#This Row],[Math_Marks]:[Social_Marks]])</f>
        <v>353</v>
      </c>
      <c r="O521">
        <f>AVERAGE(Table1[[#This Row],[Math_Marks]:[Social_Marks]])</f>
        <v>70.599999999999994</v>
      </c>
      <c r="P521" t="str">
        <f>IF(Table1[[#This Row],[Total_Marks]]&gt;=400,"Top Performer","Need Improvement")</f>
        <v>Need Improvement</v>
      </c>
      <c r="Q521" t="str">
        <f>IF(Table1[[#This Row],[Total_Marks]]&gt;=400,"Excellent",IF(Table1[[#This Row],[Total_Marks]]&gt;=300,"Good",IF(Table1[[#This Row],[Total_Marks]]&gt;=200,"Average","Below Average")))</f>
        <v>Good</v>
      </c>
    </row>
    <row r="522" spans="1:17" x14ac:dyDescent="0.3">
      <c r="A522" t="s">
        <v>533</v>
      </c>
      <c r="B522" t="s">
        <v>817</v>
      </c>
      <c r="C522" t="s">
        <v>827</v>
      </c>
      <c r="D522">
        <v>20</v>
      </c>
      <c r="E522" t="s">
        <v>832</v>
      </c>
      <c r="F522" t="s">
        <v>842</v>
      </c>
      <c r="G522">
        <v>87</v>
      </c>
      <c r="H522">
        <v>2.5</v>
      </c>
      <c r="I522">
        <v>70</v>
      </c>
      <c r="J522">
        <v>71</v>
      </c>
      <c r="K522">
        <v>84</v>
      </c>
      <c r="L522">
        <v>78</v>
      </c>
      <c r="M522">
        <v>90</v>
      </c>
      <c r="N522">
        <f>SUM(Table1[[#This Row],[Math_Marks]:[Social_Marks]])</f>
        <v>393</v>
      </c>
      <c r="O522">
        <f>AVERAGE(Table1[[#This Row],[Math_Marks]:[Social_Marks]])</f>
        <v>78.599999999999994</v>
      </c>
      <c r="P522" t="str">
        <f>IF(Table1[[#This Row],[Total_Marks]]&gt;=400,"Top Performer","Need Improvement")</f>
        <v>Need Improvement</v>
      </c>
      <c r="Q522" t="str">
        <f>IF(Table1[[#This Row],[Total_Marks]]&gt;=400,"Excellent",IF(Table1[[#This Row],[Total_Marks]]&gt;=300,"Good",IF(Table1[[#This Row],[Total_Marks]]&gt;=200,"Average","Below Average")))</f>
        <v>Good</v>
      </c>
    </row>
    <row r="523" spans="1:17" x14ac:dyDescent="0.3">
      <c r="A523" t="s">
        <v>534</v>
      </c>
      <c r="B523" t="s">
        <v>730</v>
      </c>
      <c r="C523" t="s">
        <v>827</v>
      </c>
      <c r="D523">
        <v>19</v>
      </c>
      <c r="E523" t="s">
        <v>830</v>
      </c>
      <c r="F523" t="s">
        <v>838</v>
      </c>
      <c r="G523">
        <v>65</v>
      </c>
      <c r="H523">
        <v>3.4</v>
      </c>
      <c r="I523">
        <v>72</v>
      </c>
      <c r="J523">
        <v>67</v>
      </c>
      <c r="K523">
        <v>59</v>
      </c>
      <c r="L523">
        <v>69</v>
      </c>
      <c r="M523">
        <v>75</v>
      </c>
      <c r="N523">
        <f>SUM(Table1[[#This Row],[Math_Marks]:[Social_Marks]])</f>
        <v>342</v>
      </c>
      <c r="O523">
        <f>AVERAGE(Table1[[#This Row],[Math_Marks]:[Social_Marks]])</f>
        <v>68.400000000000006</v>
      </c>
      <c r="P523" t="str">
        <f>IF(Table1[[#This Row],[Total_Marks]]&gt;=400,"Top Performer","Need Improvement")</f>
        <v>Need Improvement</v>
      </c>
      <c r="Q523" t="str">
        <f>IF(Table1[[#This Row],[Total_Marks]]&gt;=400,"Excellent",IF(Table1[[#This Row],[Total_Marks]]&gt;=300,"Good",IF(Table1[[#This Row],[Total_Marks]]&gt;=200,"Average","Below Average")))</f>
        <v>Good</v>
      </c>
    </row>
    <row r="524" spans="1:17" x14ac:dyDescent="0.3">
      <c r="A524" t="s">
        <v>535</v>
      </c>
      <c r="B524" t="s">
        <v>681</v>
      </c>
      <c r="C524" t="s">
        <v>827</v>
      </c>
      <c r="D524">
        <v>21</v>
      </c>
      <c r="E524" t="s">
        <v>831</v>
      </c>
      <c r="F524" t="s">
        <v>840</v>
      </c>
      <c r="G524">
        <v>89</v>
      </c>
      <c r="H524">
        <v>1</v>
      </c>
      <c r="I524">
        <v>78</v>
      </c>
      <c r="J524">
        <v>45</v>
      </c>
      <c r="K524">
        <v>55</v>
      </c>
      <c r="L524">
        <v>57</v>
      </c>
      <c r="M524">
        <v>54</v>
      </c>
      <c r="N524">
        <f>SUM(Table1[[#This Row],[Math_Marks]:[Social_Marks]])</f>
        <v>289</v>
      </c>
      <c r="O524">
        <f>AVERAGE(Table1[[#This Row],[Math_Marks]:[Social_Marks]])</f>
        <v>57.8</v>
      </c>
      <c r="P524" t="str">
        <f>IF(Table1[[#This Row],[Total_Marks]]&gt;=400,"Top Performer","Need Improvement")</f>
        <v>Need Improvement</v>
      </c>
      <c r="Q524" t="str">
        <f>IF(Table1[[#This Row],[Total_Marks]]&gt;=400,"Excellent",IF(Table1[[#This Row],[Total_Marks]]&gt;=300,"Good",IF(Table1[[#This Row],[Total_Marks]]&gt;=200,"Average","Below Average")))</f>
        <v>Average</v>
      </c>
    </row>
    <row r="525" spans="1:17" x14ac:dyDescent="0.3">
      <c r="A525" t="s">
        <v>536</v>
      </c>
      <c r="B525" t="s">
        <v>628</v>
      </c>
      <c r="C525" t="s">
        <v>828</v>
      </c>
      <c r="D525">
        <v>21</v>
      </c>
      <c r="E525" t="s">
        <v>830</v>
      </c>
      <c r="F525" t="s">
        <v>841</v>
      </c>
      <c r="G525">
        <v>89</v>
      </c>
      <c r="H525">
        <v>3.8</v>
      </c>
      <c r="I525">
        <v>89</v>
      </c>
      <c r="J525">
        <v>90</v>
      </c>
      <c r="K525">
        <v>74</v>
      </c>
      <c r="L525">
        <v>84</v>
      </c>
      <c r="M525">
        <v>97</v>
      </c>
      <c r="N525">
        <f>SUM(Table1[[#This Row],[Math_Marks]:[Social_Marks]])</f>
        <v>434</v>
      </c>
      <c r="O525">
        <f>AVERAGE(Table1[[#This Row],[Math_Marks]:[Social_Marks]])</f>
        <v>86.8</v>
      </c>
      <c r="P525" t="str">
        <f>IF(Table1[[#This Row],[Total_Marks]]&gt;=400,"Top Performer","Need Improvement")</f>
        <v>Top Performer</v>
      </c>
      <c r="Q525" t="str">
        <f>IF(Table1[[#This Row],[Total_Marks]]&gt;=400,"Excellent",IF(Table1[[#This Row],[Total_Marks]]&gt;=300,"Good",IF(Table1[[#This Row],[Total_Marks]]&gt;=200,"Average","Below Average")))</f>
        <v>Excellent</v>
      </c>
    </row>
    <row r="526" spans="1:17" x14ac:dyDescent="0.3">
      <c r="A526" t="s">
        <v>537</v>
      </c>
      <c r="B526" t="s">
        <v>673</v>
      </c>
      <c r="C526" t="s">
        <v>827</v>
      </c>
      <c r="D526">
        <v>18</v>
      </c>
      <c r="E526" t="s">
        <v>834</v>
      </c>
      <c r="F526" t="s">
        <v>836</v>
      </c>
      <c r="G526">
        <v>94</v>
      </c>
      <c r="H526">
        <v>3.9</v>
      </c>
      <c r="I526">
        <v>50</v>
      </c>
      <c r="J526">
        <v>69</v>
      </c>
      <c r="K526">
        <v>70</v>
      </c>
      <c r="L526">
        <v>51</v>
      </c>
      <c r="M526">
        <v>74</v>
      </c>
      <c r="N526">
        <f>SUM(Table1[[#This Row],[Math_Marks]:[Social_Marks]])</f>
        <v>314</v>
      </c>
      <c r="O526">
        <f>AVERAGE(Table1[[#This Row],[Math_Marks]:[Social_Marks]])</f>
        <v>62.8</v>
      </c>
      <c r="P526" t="str">
        <f>IF(Table1[[#This Row],[Total_Marks]]&gt;=400,"Top Performer","Need Improvement")</f>
        <v>Need Improvement</v>
      </c>
      <c r="Q526" t="str">
        <f>IF(Table1[[#This Row],[Total_Marks]]&gt;=400,"Excellent",IF(Table1[[#This Row],[Total_Marks]]&gt;=300,"Good",IF(Table1[[#This Row],[Total_Marks]]&gt;=200,"Average","Below Average")))</f>
        <v>Good</v>
      </c>
    </row>
    <row r="527" spans="1:17" x14ac:dyDescent="0.3">
      <c r="A527" t="s">
        <v>538</v>
      </c>
      <c r="B527" t="s">
        <v>700</v>
      </c>
      <c r="C527" t="s">
        <v>827</v>
      </c>
      <c r="D527">
        <v>22</v>
      </c>
      <c r="E527" t="s">
        <v>834</v>
      </c>
      <c r="F527" t="s">
        <v>842</v>
      </c>
      <c r="G527">
        <v>87</v>
      </c>
      <c r="H527">
        <v>4.5999999999999996</v>
      </c>
      <c r="I527">
        <v>60</v>
      </c>
      <c r="J527">
        <v>63</v>
      </c>
      <c r="K527">
        <v>69</v>
      </c>
      <c r="L527">
        <v>74</v>
      </c>
      <c r="M527">
        <v>78</v>
      </c>
      <c r="N527">
        <f>SUM(Table1[[#This Row],[Math_Marks]:[Social_Marks]])</f>
        <v>344</v>
      </c>
      <c r="O527">
        <f>AVERAGE(Table1[[#This Row],[Math_Marks]:[Social_Marks]])</f>
        <v>68.8</v>
      </c>
      <c r="P527" t="str">
        <f>IF(Table1[[#This Row],[Total_Marks]]&gt;=400,"Top Performer","Need Improvement")</f>
        <v>Need Improvement</v>
      </c>
      <c r="Q527" t="str">
        <f>IF(Table1[[#This Row],[Total_Marks]]&gt;=400,"Excellent",IF(Table1[[#This Row],[Total_Marks]]&gt;=300,"Good",IF(Table1[[#This Row],[Total_Marks]]&gt;=200,"Average","Below Average")))</f>
        <v>Good</v>
      </c>
    </row>
    <row r="528" spans="1:17" x14ac:dyDescent="0.3">
      <c r="A528" t="s">
        <v>539</v>
      </c>
      <c r="B528" t="s">
        <v>818</v>
      </c>
      <c r="C528" t="s">
        <v>828</v>
      </c>
      <c r="D528">
        <v>18</v>
      </c>
      <c r="E528" t="s">
        <v>833</v>
      </c>
      <c r="F528" t="s">
        <v>840</v>
      </c>
      <c r="G528">
        <v>74</v>
      </c>
      <c r="H528">
        <v>4.2</v>
      </c>
      <c r="I528">
        <v>57</v>
      </c>
      <c r="J528">
        <v>61</v>
      </c>
      <c r="K528">
        <v>31</v>
      </c>
      <c r="L528">
        <v>77</v>
      </c>
      <c r="M528">
        <v>63</v>
      </c>
      <c r="N528">
        <f>SUM(Table1[[#This Row],[Math_Marks]:[Social_Marks]])</f>
        <v>289</v>
      </c>
      <c r="O528">
        <f>AVERAGE(Table1[[#This Row],[Math_Marks]:[Social_Marks]])</f>
        <v>57.8</v>
      </c>
      <c r="P528" t="str">
        <f>IF(Table1[[#This Row],[Total_Marks]]&gt;=400,"Top Performer","Need Improvement")</f>
        <v>Need Improvement</v>
      </c>
      <c r="Q528" t="str">
        <f>IF(Table1[[#This Row],[Total_Marks]]&gt;=400,"Excellent",IF(Table1[[#This Row],[Total_Marks]]&gt;=300,"Good",IF(Table1[[#This Row],[Total_Marks]]&gt;=200,"Average","Below Average")))</f>
        <v>Average</v>
      </c>
    </row>
    <row r="529" spans="1:17" x14ac:dyDescent="0.3">
      <c r="A529" t="s">
        <v>540</v>
      </c>
      <c r="B529" t="s">
        <v>748</v>
      </c>
      <c r="C529" t="s">
        <v>828</v>
      </c>
      <c r="D529">
        <v>20</v>
      </c>
      <c r="E529" t="s">
        <v>834</v>
      </c>
      <c r="F529" t="s">
        <v>838</v>
      </c>
      <c r="G529">
        <v>83</v>
      </c>
      <c r="H529">
        <v>3.1</v>
      </c>
      <c r="I529">
        <v>72</v>
      </c>
      <c r="J529">
        <v>74</v>
      </c>
      <c r="K529">
        <v>83</v>
      </c>
      <c r="L529">
        <v>78</v>
      </c>
      <c r="M529">
        <v>73</v>
      </c>
      <c r="N529">
        <f>SUM(Table1[[#This Row],[Math_Marks]:[Social_Marks]])</f>
        <v>380</v>
      </c>
      <c r="O529">
        <f>AVERAGE(Table1[[#This Row],[Math_Marks]:[Social_Marks]])</f>
        <v>76</v>
      </c>
      <c r="P529" t="str">
        <f>IF(Table1[[#This Row],[Total_Marks]]&gt;=400,"Top Performer","Need Improvement")</f>
        <v>Need Improvement</v>
      </c>
      <c r="Q529" t="str">
        <f>IF(Table1[[#This Row],[Total_Marks]]&gt;=400,"Excellent",IF(Table1[[#This Row],[Total_Marks]]&gt;=300,"Good",IF(Table1[[#This Row],[Total_Marks]]&gt;=200,"Average","Below Average")))</f>
        <v>Good</v>
      </c>
    </row>
    <row r="530" spans="1:17" x14ac:dyDescent="0.3">
      <c r="A530" t="s">
        <v>541</v>
      </c>
      <c r="B530" t="s">
        <v>819</v>
      </c>
      <c r="C530" t="s">
        <v>828</v>
      </c>
      <c r="D530">
        <v>20</v>
      </c>
      <c r="E530" t="s">
        <v>833</v>
      </c>
      <c r="F530" t="s">
        <v>841</v>
      </c>
      <c r="G530">
        <v>83</v>
      </c>
      <c r="H530">
        <v>4.0999999999999996</v>
      </c>
      <c r="I530">
        <v>70</v>
      </c>
      <c r="J530">
        <v>73</v>
      </c>
      <c r="K530">
        <v>63</v>
      </c>
      <c r="L530">
        <v>65</v>
      </c>
      <c r="M530">
        <v>71</v>
      </c>
      <c r="N530">
        <f>SUM(Table1[[#This Row],[Math_Marks]:[Social_Marks]])</f>
        <v>342</v>
      </c>
      <c r="O530">
        <f>AVERAGE(Table1[[#This Row],[Math_Marks]:[Social_Marks]])</f>
        <v>68.400000000000006</v>
      </c>
      <c r="P530" t="str">
        <f>IF(Table1[[#This Row],[Total_Marks]]&gt;=400,"Top Performer","Need Improvement")</f>
        <v>Need Improvement</v>
      </c>
      <c r="Q530" t="str">
        <f>IF(Table1[[#This Row],[Total_Marks]]&gt;=400,"Excellent",IF(Table1[[#This Row],[Total_Marks]]&gt;=300,"Good",IF(Table1[[#This Row],[Total_Marks]]&gt;=200,"Average","Below Average")))</f>
        <v>Good</v>
      </c>
    </row>
    <row r="531" spans="1:17" x14ac:dyDescent="0.3">
      <c r="A531" t="s">
        <v>542</v>
      </c>
      <c r="B531" t="s">
        <v>750</v>
      </c>
      <c r="C531" t="s">
        <v>828</v>
      </c>
      <c r="D531">
        <v>22</v>
      </c>
      <c r="E531" t="s">
        <v>834</v>
      </c>
      <c r="F531" t="s">
        <v>842</v>
      </c>
      <c r="G531">
        <v>73</v>
      </c>
      <c r="H531">
        <v>2.7</v>
      </c>
      <c r="I531">
        <v>76</v>
      </c>
      <c r="J531">
        <v>68</v>
      </c>
      <c r="K531">
        <v>64</v>
      </c>
      <c r="L531">
        <v>76</v>
      </c>
      <c r="M531">
        <v>60</v>
      </c>
      <c r="N531">
        <f>SUM(Table1[[#This Row],[Math_Marks]:[Social_Marks]])</f>
        <v>344</v>
      </c>
      <c r="O531">
        <f>AVERAGE(Table1[[#This Row],[Math_Marks]:[Social_Marks]])</f>
        <v>68.8</v>
      </c>
      <c r="P531" t="str">
        <f>IF(Table1[[#This Row],[Total_Marks]]&gt;=400,"Top Performer","Need Improvement")</f>
        <v>Need Improvement</v>
      </c>
      <c r="Q531" t="str">
        <f>IF(Table1[[#This Row],[Total_Marks]]&gt;=400,"Excellent",IF(Table1[[#This Row],[Total_Marks]]&gt;=300,"Good",IF(Table1[[#This Row],[Total_Marks]]&gt;=200,"Average","Below Average")))</f>
        <v>Good</v>
      </c>
    </row>
    <row r="532" spans="1:17" x14ac:dyDescent="0.3">
      <c r="A532" t="s">
        <v>543</v>
      </c>
      <c r="B532" t="s">
        <v>671</v>
      </c>
      <c r="C532" t="s">
        <v>828</v>
      </c>
      <c r="D532">
        <v>18</v>
      </c>
      <c r="E532" t="s">
        <v>832</v>
      </c>
      <c r="F532" t="s">
        <v>842</v>
      </c>
      <c r="G532">
        <v>83</v>
      </c>
      <c r="H532">
        <v>2.6</v>
      </c>
      <c r="I532">
        <v>59</v>
      </c>
      <c r="J532">
        <v>51</v>
      </c>
      <c r="K532">
        <v>68</v>
      </c>
      <c r="L532">
        <v>71</v>
      </c>
      <c r="M532">
        <v>60</v>
      </c>
      <c r="N532">
        <f>SUM(Table1[[#This Row],[Math_Marks]:[Social_Marks]])</f>
        <v>309</v>
      </c>
      <c r="O532">
        <f>AVERAGE(Table1[[#This Row],[Math_Marks]:[Social_Marks]])</f>
        <v>61.8</v>
      </c>
      <c r="P532" t="str">
        <f>IF(Table1[[#This Row],[Total_Marks]]&gt;=400,"Top Performer","Need Improvement")</f>
        <v>Need Improvement</v>
      </c>
      <c r="Q532" t="str">
        <f>IF(Table1[[#This Row],[Total_Marks]]&gt;=400,"Excellent",IF(Table1[[#This Row],[Total_Marks]]&gt;=300,"Good",IF(Table1[[#This Row],[Total_Marks]]&gt;=200,"Average","Below Average")))</f>
        <v>Good</v>
      </c>
    </row>
    <row r="533" spans="1:17" x14ac:dyDescent="0.3">
      <c r="A533" t="s">
        <v>544</v>
      </c>
      <c r="B533" t="s">
        <v>628</v>
      </c>
      <c r="C533" t="s">
        <v>827</v>
      </c>
      <c r="D533">
        <v>20</v>
      </c>
      <c r="E533" t="s">
        <v>833</v>
      </c>
      <c r="F533" t="s">
        <v>842</v>
      </c>
      <c r="G533">
        <v>76</v>
      </c>
      <c r="H533">
        <v>2.2999999999999998</v>
      </c>
      <c r="I533">
        <v>74</v>
      </c>
      <c r="J533">
        <v>75</v>
      </c>
      <c r="K533">
        <v>77</v>
      </c>
      <c r="L533">
        <v>76</v>
      </c>
      <c r="M533">
        <v>67</v>
      </c>
      <c r="N533">
        <f>SUM(Table1[[#This Row],[Math_Marks]:[Social_Marks]])</f>
        <v>369</v>
      </c>
      <c r="O533">
        <f>AVERAGE(Table1[[#This Row],[Math_Marks]:[Social_Marks]])</f>
        <v>73.8</v>
      </c>
      <c r="P533" t="str">
        <f>IF(Table1[[#This Row],[Total_Marks]]&gt;=400,"Top Performer","Need Improvement")</f>
        <v>Need Improvement</v>
      </c>
      <c r="Q533" t="str">
        <f>IF(Table1[[#This Row],[Total_Marks]]&gt;=400,"Excellent",IF(Table1[[#This Row],[Total_Marks]]&gt;=300,"Good",IF(Table1[[#This Row],[Total_Marks]]&gt;=200,"Average","Below Average")))</f>
        <v>Good</v>
      </c>
    </row>
    <row r="534" spans="1:17" x14ac:dyDescent="0.3">
      <c r="A534" t="s">
        <v>545</v>
      </c>
      <c r="B534" t="s">
        <v>812</v>
      </c>
      <c r="C534" t="s">
        <v>828</v>
      </c>
      <c r="D534">
        <v>22</v>
      </c>
      <c r="E534" t="s">
        <v>830</v>
      </c>
      <c r="F534" t="s">
        <v>841</v>
      </c>
      <c r="G534">
        <v>85</v>
      </c>
      <c r="H534">
        <v>3.2</v>
      </c>
      <c r="I534">
        <v>54</v>
      </c>
      <c r="J534">
        <v>52</v>
      </c>
      <c r="K534">
        <v>38</v>
      </c>
      <c r="L534">
        <v>57</v>
      </c>
      <c r="M534">
        <v>61</v>
      </c>
      <c r="N534">
        <f>SUM(Table1[[#This Row],[Math_Marks]:[Social_Marks]])</f>
        <v>262</v>
      </c>
      <c r="O534">
        <f>AVERAGE(Table1[[#This Row],[Math_Marks]:[Social_Marks]])</f>
        <v>52.4</v>
      </c>
      <c r="P534" t="str">
        <f>IF(Table1[[#This Row],[Total_Marks]]&gt;=400,"Top Performer","Need Improvement")</f>
        <v>Need Improvement</v>
      </c>
      <c r="Q534" t="str">
        <f>IF(Table1[[#This Row],[Total_Marks]]&gt;=400,"Excellent",IF(Table1[[#This Row],[Total_Marks]]&gt;=300,"Good",IF(Table1[[#This Row],[Total_Marks]]&gt;=200,"Average","Below Average")))</f>
        <v>Average</v>
      </c>
    </row>
    <row r="535" spans="1:17" x14ac:dyDescent="0.3">
      <c r="A535" t="s">
        <v>546</v>
      </c>
      <c r="B535" t="s">
        <v>820</v>
      </c>
      <c r="C535" t="s">
        <v>827</v>
      </c>
      <c r="D535">
        <v>18</v>
      </c>
      <c r="E535" t="s">
        <v>834</v>
      </c>
      <c r="F535" t="s">
        <v>842</v>
      </c>
      <c r="G535">
        <v>72</v>
      </c>
      <c r="H535">
        <v>4.0999999999999996</v>
      </c>
      <c r="I535">
        <v>58</v>
      </c>
      <c r="J535">
        <v>63</v>
      </c>
      <c r="K535">
        <v>49</v>
      </c>
      <c r="L535">
        <v>72</v>
      </c>
      <c r="M535">
        <v>58</v>
      </c>
      <c r="N535">
        <f>SUM(Table1[[#This Row],[Math_Marks]:[Social_Marks]])</f>
        <v>300</v>
      </c>
      <c r="O535">
        <f>AVERAGE(Table1[[#This Row],[Math_Marks]:[Social_Marks]])</f>
        <v>60</v>
      </c>
      <c r="P535" t="str">
        <f>IF(Table1[[#This Row],[Total_Marks]]&gt;=400,"Top Performer","Need Improvement")</f>
        <v>Need Improvement</v>
      </c>
      <c r="Q535" t="str">
        <f>IF(Table1[[#This Row],[Total_Marks]]&gt;=400,"Excellent",IF(Table1[[#This Row],[Total_Marks]]&gt;=300,"Good",IF(Table1[[#This Row],[Total_Marks]]&gt;=200,"Average","Below Average")))</f>
        <v>Good</v>
      </c>
    </row>
    <row r="536" spans="1:17" x14ac:dyDescent="0.3">
      <c r="A536" t="s">
        <v>547</v>
      </c>
      <c r="B536" t="s">
        <v>762</v>
      </c>
      <c r="C536" t="s">
        <v>828</v>
      </c>
      <c r="D536">
        <v>22</v>
      </c>
      <c r="E536" t="s">
        <v>829</v>
      </c>
      <c r="F536" t="s">
        <v>836</v>
      </c>
      <c r="G536">
        <v>79</v>
      </c>
      <c r="H536">
        <v>3.8</v>
      </c>
      <c r="I536">
        <v>78</v>
      </c>
      <c r="J536">
        <v>73</v>
      </c>
      <c r="K536">
        <v>75</v>
      </c>
      <c r="L536">
        <v>79</v>
      </c>
      <c r="M536">
        <v>71</v>
      </c>
      <c r="N536">
        <f>SUM(Table1[[#This Row],[Math_Marks]:[Social_Marks]])</f>
        <v>376</v>
      </c>
      <c r="O536">
        <f>AVERAGE(Table1[[#This Row],[Math_Marks]:[Social_Marks]])</f>
        <v>75.2</v>
      </c>
      <c r="P536" t="str">
        <f>IF(Table1[[#This Row],[Total_Marks]]&gt;=400,"Top Performer","Need Improvement")</f>
        <v>Need Improvement</v>
      </c>
      <c r="Q536" t="str">
        <f>IF(Table1[[#This Row],[Total_Marks]]&gt;=400,"Excellent",IF(Table1[[#This Row],[Total_Marks]]&gt;=300,"Good",IF(Table1[[#This Row],[Total_Marks]]&gt;=200,"Average","Below Average")))</f>
        <v>Good</v>
      </c>
    </row>
    <row r="537" spans="1:17" x14ac:dyDescent="0.3">
      <c r="A537" t="s">
        <v>548</v>
      </c>
      <c r="B537" t="s">
        <v>703</v>
      </c>
      <c r="C537" t="s">
        <v>827</v>
      </c>
      <c r="D537">
        <v>22</v>
      </c>
      <c r="E537" t="s">
        <v>831</v>
      </c>
      <c r="F537" t="s">
        <v>839</v>
      </c>
      <c r="G537">
        <v>87</v>
      </c>
      <c r="H537">
        <v>1.6</v>
      </c>
      <c r="I537">
        <v>48</v>
      </c>
      <c r="J537">
        <v>57</v>
      </c>
      <c r="K537">
        <v>50</v>
      </c>
      <c r="L537">
        <v>60</v>
      </c>
      <c r="M537">
        <v>61</v>
      </c>
      <c r="N537">
        <f>SUM(Table1[[#This Row],[Math_Marks]:[Social_Marks]])</f>
        <v>276</v>
      </c>
      <c r="O537">
        <f>AVERAGE(Table1[[#This Row],[Math_Marks]:[Social_Marks]])</f>
        <v>55.2</v>
      </c>
      <c r="P537" t="str">
        <f>IF(Table1[[#This Row],[Total_Marks]]&gt;=400,"Top Performer","Need Improvement")</f>
        <v>Need Improvement</v>
      </c>
      <c r="Q537" t="str">
        <f>IF(Table1[[#This Row],[Total_Marks]]&gt;=400,"Excellent",IF(Table1[[#This Row],[Total_Marks]]&gt;=300,"Good",IF(Table1[[#This Row],[Total_Marks]]&gt;=200,"Average","Below Average")))</f>
        <v>Average</v>
      </c>
    </row>
    <row r="538" spans="1:17" x14ac:dyDescent="0.3">
      <c r="A538" t="s">
        <v>549</v>
      </c>
      <c r="B538" t="s">
        <v>683</v>
      </c>
      <c r="C538" t="s">
        <v>827</v>
      </c>
      <c r="D538">
        <v>20</v>
      </c>
      <c r="E538" t="s">
        <v>834</v>
      </c>
      <c r="F538" t="s">
        <v>839</v>
      </c>
      <c r="G538">
        <v>86</v>
      </c>
      <c r="H538">
        <v>2.9</v>
      </c>
      <c r="I538">
        <v>48</v>
      </c>
      <c r="J538">
        <v>61</v>
      </c>
      <c r="K538">
        <v>54</v>
      </c>
      <c r="L538">
        <v>66</v>
      </c>
      <c r="M538">
        <v>51</v>
      </c>
      <c r="N538">
        <f>SUM(Table1[[#This Row],[Math_Marks]:[Social_Marks]])</f>
        <v>280</v>
      </c>
      <c r="O538">
        <f>AVERAGE(Table1[[#This Row],[Math_Marks]:[Social_Marks]])</f>
        <v>56</v>
      </c>
      <c r="P538" t="str">
        <f>IF(Table1[[#This Row],[Total_Marks]]&gt;=400,"Top Performer","Need Improvement")</f>
        <v>Need Improvement</v>
      </c>
      <c r="Q538" t="str">
        <f>IF(Table1[[#This Row],[Total_Marks]]&gt;=400,"Excellent",IF(Table1[[#This Row],[Total_Marks]]&gt;=300,"Good",IF(Table1[[#This Row],[Total_Marks]]&gt;=200,"Average","Below Average")))</f>
        <v>Average</v>
      </c>
    </row>
    <row r="539" spans="1:17" x14ac:dyDescent="0.3">
      <c r="A539" t="s">
        <v>550</v>
      </c>
      <c r="B539" t="s">
        <v>816</v>
      </c>
      <c r="C539" t="s">
        <v>828</v>
      </c>
      <c r="D539">
        <v>18</v>
      </c>
      <c r="E539" t="s">
        <v>833</v>
      </c>
      <c r="F539" t="s">
        <v>837</v>
      </c>
      <c r="G539">
        <v>70</v>
      </c>
      <c r="H539">
        <v>5.5</v>
      </c>
      <c r="I539">
        <v>60</v>
      </c>
      <c r="J539">
        <v>75</v>
      </c>
      <c r="K539">
        <v>74</v>
      </c>
      <c r="L539">
        <v>74</v>
      </c>
      <c r="M539">
        <v>62</v>
      </c>
      <c r="N539">
        <f>SUM(Table1[[#This Row],[Math_Marks]:[Social_Marks]])</f>
        <v>345</v>
      </c>
      <c r="O539">
        <f>AVERAGE(Table1[[#This Row],[Math_Marks]:[Social_Marks]])</f>
        <v>69</v>
      </c>
      <c r="P539" t="str">
        <f>IF(Table1[[#This Row],[Total_Marks]]&gt;=400,"Top Performer","Need Improvement")</f>
        <v>Need Improvement</v>
      </c>
      <c r="Q539" t="str">
        <f>IF(Table1[[#This Row],[Total_Marks]]&gt;=400,"Excellent",IF(Table1[[#This Row],[Total_Marks]]&gt;=300,"Good",IF(Table1[[#This Row],[Total_Marks]]&gt;=200,"Average","Below Average")))</f>
        <v>Good</v>
      </c>
    </row>
    <row r="540" spans="1:17" x14ac:dyDescent="0.3">
      <c r="A540" t="s">
        <v>551</v>
      </c>
      <c r="B540" t="s">
        <v>699</v>
      </c>
      <c r="C540" t="s">
        <v>828</v>
      </c>
      <c r="D540">
        <v>18</v>
      </c>
      <c r="E540" t="s">
        <v>831</v>
      </c>
      <c r="F540" t="s">
        <v>835</v>
      </c>
      <c r="G540">
        <v>95</v>
      </c>
      <c r="H540">
        <v>4.4000000000000004</v>
      </c>
      <c r="I540">
        <v>91</v>
      </c>
      <c r="J540">
        <v>81</v>
      </c>
      <c r="K540">
        <v>90</v>
      </c>
      <c r="L540">
        <v>97</v>
      </c>
      <c r="M540">
        <v>98</v>
      </c>
      <c r="N540">
        <f>SUM(Table1[[#This Row],[Math_Marks]:[Social_Marks]])</f>
        <v>457</v>
      </c>
      <c r="O540">
        <f>AVERAGE(Table1[[#This Row],[Math_Marks]:[Social_Marks]])</f>
        <v>91.4</v>
      </c>
      <c r="P540" t="str">
        <f>IF(Table1[[#This Row],[Total_Marks]]&gt;=400,"Top Performer","Need Improvement")</f>
        <v>Top Performer</v>
      </c>
      <c r="Q540" t="str">
        <f>IF(Table1[[#This Row],[Total_Marks]]&gt;=400,"Excellent",IF(Table1[[#This Row],[Total_Marks]]&gt;=300,"Good",IF(Table1[[#This Row],[Total_Marks]]&gt;=200,"Average","Below Average")))</f>
        <v>Excellent</v>
      </c>
    </row>
    <row r="541" spans="1:17" x14ac:dyDescent="0.3">
      <c r="A541" t="s">
        <v>552</v>
      </c>
      <c r="B541" t="s">
        <v>707</v>
      </c>
      <c r="C541" t="s">
        <v>828</v>
      </c>
      <c r="D541">
        <v>20</v>
      </c>
      <c r="E541" t="s">
        <v>831</v>
      </c>
      <c r="F541" t="s">
        <v>840</v>
      </c>
      <c r="G541">
        <v>87</v>
      </c>
      <c r="H541">
        <v>6.3</v>
      </c>
      <c r="I541">
        <v>82</v>
      </c>
      <c r="J541">
        <v>79</v>
      </c>
      <c r="K541">
        <v>76</v>
      </c>
      <c r="L541">
        <v>77</v>
      </c>
      <c r="M541">
        <v>79</v>
      </c>
      <c r="N541">
        <f>SUM(Table1[[#This Row],[Math_Marks]:[Social_Marks]])</f>
        <v>393</v>
      </c>
      <c r="O541">
        <f>AVERAGE(Table1[[#This Row],[Math_Marks]:[Social_Marks]])</f>
        <v>78.599999999999994</v>
      </c>
      <c r="P541" t="str">
        <f>IF(Table1[[#This Row],[Total_Marks]]&gt;=400,"Top Performer","Need Improvement")</f>
        <v>Need Improvement</v>
      </c>
      <c r="Q541" t="str">
        <f>IF(Table1[[#This Row],[Total_Marks]]&gt;=400,"Excellent",IF(Table1[[#This Row],[Total_Marks]]&gt;=300,"Good",IF(Table1[[#This Row],[Total_Marks]]&gt;=200,"Average","Below Average")))</f>
        <v>Good</v>
      </c>
    </row>
    <row r="542" spans="1:17" x14ac:dyDescent="0.3">
      <c r="A542" t="s">
        <v>553</v>
      </c>
      <c r="B542" t="s">
        <v>692</v>
      </c>
      <c r="C542" t="s">
        <v>828</v>
      </c>
      <c r="D542">
        <v>20</v>
      </c>
      <c r="E542" t="s">
        <v>832</v>
      </c>
      <c r="F542" t="s">
        <v>841</v>
      </c>
      <c r="G542">
        <v>74</v>
      </c>
      <c r="H542">
        <v>4.9000000000000004</v>
      </c>
      <c r="I542">
        <v>89</v>
      </c>
      <c r="J542">
        <v>78</v>
      </c>
      <c r="K542">
        <v>81</v>
      </c>
      <c r="L542">
        <v>75</v>
      </c>
      <c r="M542">
        <v>81</v>
      </c>
      <c r="N542">
        <f>SUM(Table1[[#This Row],[Math_Marks]:[Social_Marks]])</f>
        <v>404</v>
      </c>
      <c r="O542">
        <f>AVERAGE(Table1[[#This Row],[Math_Marks]:[Social_Marks]])</f>
        <v>80.8</v>
      </c>
      <c r="P542" t="str">
        <f>IF(Table1[[#This Row],[Total_Marks]]&gt;=400,"Top Performer","Need Improvement")</f>
        <v>Top Performer</v>
      </c>
      <c r="Q542" t="str">
        <f>IF(Table1[[#This Row],[Total_Marks]]&gt;=400,"Excellent",IF(Table1[[#This Row],[Total_Marks]]&gt;=300,"Good",IF(Table1[[#This Row],[Total_Marks]]&gt;=200,"Average","Below Average")))</f>
        <v>Excellent</v>
      </c>
    </row>
    <row r="543" spans="1:17" x14ac:dyDescent="0.3">
      <c r="A543" t="s">
        <v>554</v>
      </c>
      <c r="B543" t="s">
        <v>723</v>
      </c>
      <c r="C543" t="s">
        <v>827</v>
      </c>
      <c r="D543">
        <v>21</v>
      </c>
      <c r="E543" t="s">
        <v>831</v>
      </c>
      <c r="F543" t="s">
        <v>837</v>
      </c>
      <c r="G543">
        <v>86</v>
      </c>
      <c r="H543">
        <v>3.4</v>
      </c>
      <c r="I543">
        <v>75</v>
      </c>
      <c r="J543">
        <v>84</v>
      </c>
      <c r="K543">
        <v>52</v>
      </c>
      <c r="L543">
        <v>52</v>
      </c>
      <c r="M543">
        <v>54</v>
      </c>
      <c r="N543">
        <f>SUM(Table1[[#This Row],[Math_Marks]:[Social_Marks]])</f>
        <v>317</v>
      </c>
      <c r="O543">
        <f>AVERAGE(Table1[[#This Row],[Math_Marks]:[Social_Marks]])</f>
        <v>63.4</v>
      </c>
      <c r="P543" t="str">
        <f>IF(Table1[[#This Row],[Total_Marks]]&gt;=400,"Top Performer","Need Improvement")</f>
        <v>Need Improvement</v>
      </c>
      <c r="Q543" t="str">
        <f>IF(Table1[[#This Row],[Total_Marks]]&gt;=400,"Excellent",IF(Table1[[#This Row],[Total_Marks]]&gt;=300,"Good",IF(Table1[[#This Row],[Total_Marks]]&gt;=200,"Average","Below Average")))</f>
        <v>Good</v>
      </c>
    </row>
    <row r="544" spans="1:17" x14ac:dyDescent="0.3">
      <c r="A544" t="s">
        <v>555</v>
      </c>
      <c r="B544" t="s">
        <v>813</v>
      </c>
      <c r="C544" t="s">
        <v>828</v>
      </c>
      <c r="D544">
        <v>18</v>
      </c>
      <c r="E544" t="s">
        <v>831</v>
      </c>
      <c r="F544" t="s">
        <v>838</v>
      </c>
      <c r="G544">
        <v>83</v>
      </c>
      <c r="H544">
        <v>4.5999999999999996</v>
      </c>
      <c r="I544">
        <v>61</v>
      </c>
      <c r="J544">
        <v>63</v>
      </c>
      <c r="K544">
        <v>50</v>
      </c>
      <c r="L544">
        <v>54</v>
      </c>
      <c r="M544">
        <v>54</v>
      </c>
      <c r="N544">
        <f>SUM(Table1[[#This Row],[Math_Marks]:[Social_Marks]])</f>
        <v>282</v>
      </c>
      <c r="O544">
        <f>AVERAGE(Table1[[#This Row],[Math_Marks]:[Social_Marks]])</f>
        <v>56.4</v>
      </c>
      <c r="P544" t="str">
        <f>IF(Table1[[#This Row],[Total_Marks]]&gt;=400,"Top Performer","Need Improvement")</f>
        <v>Need Improvement</v>
      </c>
      <c r="Q544" t="str">
        <f>IF(Table1[[#This Row],[Total_Marks]]&gt;=400,"Excellent",IF(Table1[[#This Row],[Total_Marks]]&gt;=300,"Good",IF(Table1[[#This Row],[Total_Marks]]&gt;=200,"Average","Below Average")))</f>
        <v>Average</v>
      </c>
    </row>
    <row r="545" spans="1:17" x14ac:dyDescent="0.3">
      <c r="A545" t="s">
        <v>556</v>
      </c>
      <c r="B545" t="s">
        <v>821</v>
      </c>
      <c r="C545" t="s">
        <v>827</v>
      </c>
      <c r="D545">
        <v>18</v>
      </c>
      <c r="E545" t="s">
        <v>833</v>
      </c>
      <c r="F545" t="s">
        <v>841</v>
      </c>
      <c r="G545">
        <v>65</v>
      </c>
      <c r="H545">
        <v>1.6</v>
      </c>
      <c r="I545">
        <v>34</v>
      </c>
      <c r="J545">
        <v>66</v>
      </c>
      <c r="K545">
        <v>42</v>
      </c>
      <c r="L545">
        <v>63</v>
      </c>
      <c r="M545">
        <v>49</v>
      </c>
      <c r="N545">
        <f>SUM(Table1[[#This Row],[Math_Marks]:[Social_Marks]])</f>
        <v>254</v>
      </c>
      <c r="O545">
        <f>AVERAGE(Table1[[#This Row],[Math_Marks]:[Social_Marks]])</f>
        <v>50.8</v>
      </c>
      <c r="P545" t="str">
        <f>IF(Table1[[#This Row],[Total_Marks]]&gt;=400,"Top Performer","Need Improvement")</f>
        <v>Need Improvement</v>
      </c>
      <c r="Q545" t="str">
        <f>IF(Table1[[#This Row],[Total_Marks]]&gt;=400,"Excellent",IF(Table1[[#This Row],[Total_Marks]]&gt;=300,"Good",IF(Table1[[#This Row],[Total_Marks]]&gt;=200,"Average","Below Average")))</f>
        <v>Average</v>
      </c>
    </row>
    <row r="546" spans="1:17" x14ac:dyDescent="0.3">
      <c r="A546" t="s">
        <v>557</v>
      </c>
      <c r="B546" t="s">
        <v>687</v>
      </c>
      <c r="C546" t="s">
        <v>827</v>
      </c>
      <c r="D546">
        <v>18</v>
      </c>
      <c r="E546" t="s">
        <v>830</v>
      </c>
      <c r="F546" t="s">
        <v>841</v>
      </c>
      <c r="G546">
        <v>88</v>
      </c>
      <c r="H546">
        <v>1.1000000000000001</v>
      </c>
      <c r="I546">
        <v>56</v>
      </c>
      <c r="J546">
        <v>59</v>
      </c>
      <c r="K546">
        <v>50</v>
      </c>
      <c r="L546">
        <v>64</v>
      </c>
      <c r="M546">
        <v>46</v>
      </c>
      <c r="N546">
        <f>SUM(Table1[[#This Row],[Math_Marks]:[Social_Marks]])</f>
        <v>275</v>
      </c>
      <c r="O546">
        <f>AVERAGE(Table1[[#This Row],[Math_Marks]:[Social_Marks]])</f>
        <v>55</v>
      </c>
      <c r="P546" t="str">
        <f>IF(Table1[[#This Row],[Total_Marks]]&gt;=400,"Top Performer","Need Improvement")</f>
        <v>Need Improvement</v>
      </c>
      <c r="Q546" t="str">
        <f>IF(Table1[[#This Row],[Total_Marks]]&gt;=400,"Excellent",IF(Table1[[#This Row],[Total_Marks]]&gt;=300,"Good",IF(Table1[[#This Row],[Total_Marks]]&gt;=200,"Average","Below Average")))</f>
        <v>Average</v>
      </c>
    </row>
    <row r="547" spans="1:17" x14ac:dyDescent="0.3">
      <c r="A547" t="s">
        <v>558</v>
      </c>
      <c r="B547" t="s">
        <v>788</v>
      </c>
      <c r="C547" t="s">
        <v>827</v>
      </c>
      <c r="D547">
        <v>22</v>
      </c>
      <c r="E547" t="s">
        <v>829</v>
      </c>
      <c r="F547" t="s">
        <v>840</v>
      </c>
      <c r="G547">
        <v>96</v>
      </c>
      <c r="H547">
        <v>3.7</v>
      </c>
      <c r="I547">
        <v>90</v>
      </c>
      <c r="J547">
        <v>74</v>
      </c>
      <c r="K547">
        <v>80</v>
      </c>
      <c r="L547">
        <v>81</v>
      </c>
      <c r="M547">
        <v>92</v>
      </c>
      <c r="N547">
        <f>SUM(Table1[[#This Row],[Math_Marks]:[Social_Marks]])</f>
        <v>417</v>
      </c>
      <c r="O547">
        <f>AVERAGE(Table1[[#This Row],[Math_Marks]:[Social_Marks]])</f>
        <v>83.4</v>
      </c>
      <c r="P547" t="str">
        <f>IF(Table1[[#This Row],[Total_Marks]]&gt;=400,"Top Performer","Need Improvement")</f>
        <v>Top Performer</v>
      </c>
      <c r="Q547" t="str">
        <f>IF(Table1[[#This Row],[Total_Marks]]&gt;=400,"Excellent",IF(Table1[[#This Row],[Total_Marks]]&gt;=300,"Good",IF(Table1[[#This Row],[Total_Marks]]&gt;=200,"Average","Below Average")))</f>
        <v>Excellent</v>
      </c>
    </row>
    <row r="548" spans="1:17" x14ac:dyDescent="0.3">
      <c r="A548" t="s">
        <v>559</v>
      </c>
      <c r="B548" t="s">
        <v>661</v>
      </c>
      <c r="C548" t="s">
        <v>828</v>
      </c>
      <c r="D548">
        <v>20</v>
      </c>
      <c r="E548" t="s">
        <v>834</v>
      </c>
      <c r="F548" t="s">
        <v>839</v>
      </c>
      <c r="G548">
        <v>81</v>
      </c>
      <c r="H548">
        <v>5.8</v>
      </c>
      <c r="I548">
        <v>69</v>
      </c>
      <c r="J548">
        <v>68</v>
      </c>
      <c r="K548">
        <v>68</v>
      </c>
      <c r="L548">
        <v>61</v>
      </c>
      <c r="M548">
        <v>66</v>
      </c>
      <c r="N548">
        <f>SUM(Table1[[#This Row],[Math_Marks]:[Social_Marks]])</f>
        <v>332</v>
      </c>
      <c r="O548">
        <f>AVERAGE(Table1[[#This Row],[Math_Marks]:[Social_Marks]])</f>
        <v>66.400000000000006</v>
      </c>
      <c r="P548" t="str">
        <f>IF(Table1[[#This Row],[Total_Marks]]&gt;=400,"Top Performer","Need Improvement")</f>
        <v>Need Improvement</v>
      </c>
      <c r="Q548" t="str">
        <f>IF(Table1[[#This Row],[Total_Marks]]&gt;=400,"Excellent",IF(Table1[[#This Row],[Total_Marks]]&gt;=300,"Good",IF(Table1[[#This Row],[Total_Marks]]&gt;=200,"Average","Below Average")))</f>
        <v>Good</v>
      </c>
    </row>
    <row r="549" spans="1:17" x14ac:dyDescent="0.3">
      <c r="A549" t="s">
        <v>560</v>
      </c>
      <c r="B549" t="s">
        <v>671</v>
      </c>
      <c r="C549" t="s">
        <v>827</v>
      </c>
      <c r="D549">
        <v>22</v>
      </c>
      <c r="E549" t="s">
        <v>832</v>
      </c>
      <c r="F549" t="s">
        <v>838</v>
      </c>
      <c r="G549">
        <v>88</v>
      </c>
      <c r="H549">
        <v>1</v>
      </c>
      <c r="I549">
        <v>57</v>
      </c>
      <c r="J549">
        <v>54</v>
      </c>
      <c r="K549">
        <v>60</v>
      </c>
      <c r="L549">
        <v>54</v>
      </c>
      <c r="M549">
        <v>41</v>
      </c>
      <c r="N549">
        <f>SUM(Table1[[#This Row],[Math_Marks]:[Social_Marks]])</f>
        <v>266</v>
      </c>
      <c r="O549">
        <f>AVERAGE(Table1[[#This Row],[Math_Marks]:[Social_Marks]])</f>
        <v>53.2</v>
      </c>
      <c r="P549" t="str">
        <f>IF(Table1[[#This Row],[Total_Marks]]&gt;=400,"Top Performer","Need Improvement")</f>
        <v>Need Improvement</v>
      </c>
      <c r="Q549" t="str">
        <f>IF(Table1[[#This Row],[Total_Marks]]&gt;=400,"Excellent",IF(Table1[[#This Row],[Total_Marks]]&gt;=300,"Good",IF(Table1[[#This Row],[Total_Marks]]&gt;=200,"Average","Below Average")))</f>
        <v>Average</v>
      </c>
    </row>
    <row r="550" spans="1:17" x14ac:dyDescent="0.3">
      <c r="A550" t="s">
        <v>561</v>
      </c>
      <c r="B550" t="s">
        <v>819</v>
      </c>
      <c r="C550" t="s">
        <v>827</v>
      </c>
      <c r="D550">
        <v>22</v>
      </c>
      <c r="E550" t="s">
        <v>832</v>
      </c>
      <c r="F550" t="s">
        <v>836</v>
      </c>
      <c r="G550">
        <v>73</v>
      </c>
      <c r="H550">
        <v>1.6</v>
      </c>
      <c r="I550">
        <v>68</v>
      </c>
      <c r="J550">
        <v>57</v>
      </c>
      <c r="K550">
        <v>44</v>
      </c>
      <c r="L550">
        <v>57</v>
      </c>
      <c r="M550">
        <v>55</v>
      </c>
      <c r="N550">
        <f>SUM(Table1[[#This Row],[Math_Marks]:[Social_Marks]])</f>
        <v>281</v>
      </c>
      <c r="O550">
        <f>AVERAGE(Table1[[#This Row],[Math_Marks]:[Social_Marks]])</f>
        <v>56.2</v>
      </c>
      <c r="P550" t="str">
        <f>IF(Table1[[#This Row],[Total_Marks]]&gt;=400,"Top Performer","Need Improvement")</f>
        <v>Need Improvement</v>
      </c>
      <c r="Q550" t="str">
        <f>IF(Table1[[#This Row],[Total_Marks]]&gt;=400,"Excellent",IF(Table1[[#This Row],[Total_Marks]]&gt;=300,"Good",IF(Table1[[#This Row],[Total_Marks]]&gt;=200,"Average","Below Average")))</f>
        <v>Average</v>
      </c>
    </row>
    <row r="551" spans="1:17" x14ac:dyDescent="0.3">
      <c r="A551" t="s">
        <v>562</v>
      </c>
      <c r="B551" t="s">
        <v>727</v>
      </c>
      <c r="C551" t="s">
        <v>828</v>
      </c>
      <c r="D551">
        <v>22</v>
      </c>
      <c r="E551" t="s">
        <v>831</v>
      </c>
      <c r="F551" t="s">
        <v>837</v>
      </c>
      <c r="G551">
        <v>86</v>
      </c>
      <c r="H551">
        <v>2.2999999999999998</v>
      </c>
      <c r="I551">
        <v>48</v>
      </c>
      <c r="J551">
        <v>52</v>
      </c>
      <c r="K551">
        <v>36</v>
      </c>
      <c r="L551">
        <v>55</v>
      </c>
      <c r="M551">
        <v>55</v>
      </c>
      <c r="N551">
        <f>SUM(Table1[[#This Row],[Math_Marks]:[Social_Marks]])</f>
        <v>246</v>
      </c>
      <c r="O551">
        <f>AVERAGE(Table1[[#This Row],[Math_Marks]:[Social_Marks]])</f>
        <v>49.2</v>
      </c>
      <c r="P551" t="str">
        <f>IF(Table1[[#This Row],[Total_Marks]]&gt;=400,"Top Performer","Need Improvement")</f>
        <v>Need Improvement</v>
      </c>
      <c r="Q551" t="str">
        <f>IF(Table1[[#This Row],[Total_Marks]]&gt;=400,"Excellent",IF(Table1[[#This Row],[Total_Marks]]&gt;=300,"Good",IF(Table1[[#This Row],[Total_Marks]]&gt;=200,"Average","Below Average")))</f>
        <v>Average</v>
      </c>
    </row>
    <row r="552" spans="1:17" x14ac:dyDescent="0.3">
      <c r="A552" t="s">
        <v>563</v>
      </c>
      <c r="B552" t="s">
        <v>666</v>
      </c>
      <c r="C552" t="s">
        <v>827</v>
      </c>
      <c r="D552">
        <v>18</v>
      </c>
      <c r="E552" t="s">
        <v>831</v>
      </c>
      <c r="F552" t="s">
        <v>837</v>
      </c>
      <c r="G552">
        <v>91</v>
      </c>
      <c r="H552">
        <v>1.5</v>
      </c>
      <c r="I552">
        <v>63</v>
      </c>
      <c r="J552">
        <v>64</v>
      </c>
      <c r="K552">
        <v>51</v>
      </c>
      <c r="L552">
        <v>63</v>
      </c>
      <c r="M552">
        <v>69</v>
      </c>
      <c r="N552">
        <f>SUM(Table1[[#This Row],[Math_Marks]:[Social_Marks]])</f>
        <v>310</v>
      </c>
      <c r="O552">
        <f>AVERAGE(Table1[[#This Row],[Math_Marks]:[Social_Marks]])</f>
        <v>62</v>
      </c>
      <c r="P552" t="str">
        <f>IF(Table1[[#This Row],[Total_Marks]]&gt;=400,"Top Performer","Need Improvement")</f>
        <v>Need Improvement</v>
      </c>
      <c r="Q552" t="str">
        <f>IF(Table1[[#This Row],[Total_Marks]]&gt;=400,"Excellent",IF(Table1[[#This Row],[Total_Marks]]&gt;=300,"Good",IF(Table1[[#This Row],[Total_Marks]]&gt;=200,"Average","Below Average")))</f>
        <v>Good</v>
      </c>
    </row>
    <row r="553" spans="1:17" x14ac:dyDescent="0.3">
      <c r="A553" t="s">
        <v>564</v>
      </c>
      <c r="B553" t="s">
        <v>707</v>
      </c>
      <c r="C553" t="s">
        <v>828</v>
      </c>
      <c r="D553">
        <v>20</v>
      </c>
      <c r="E553" t="s">
        <v>829</v>
      </c>
      <c r="F553" t="s">
        <v>839</v>
      </c>
      <c r="G553">
        <v>76</v>
      </c>
      <c r="H553">
        <v>5.0999999999999996</v>
      </c>
      <c r="I553">
        <v>55</v>
      </c>
      <c r="J553">
        <v>66</v>
      </c>
      <c r="K553">
        <v>64</v>
      </c>
      <c r="L553">
        <v>56</v>
      </c>
      <c r="M553">
        <v>50</v>
      </c>
      <c r="N553">
        <f>SUM(Table1[[#This Row],[Math_Marks]:[Social_Marks]])</f>
        <v>291</v>
      </c>
      <c r="O553">
        <f>AVERAGE(Table1[[#This Row],[Math_Marks]:[Social_Marks]])</f>
        <v>58.2</v>
      </c>
      <c r="P553" t="str">
        <f>IF(Table1[[#This Row],[Total_Marks]]&gt;=400,"Top Performer","Need Improvement")</f>
        <v>Need Improvement</v>
      </c>
      <c r="Q553" t="str">
        <f>IF(Table1[[#This Row],[Total_Marks]]&gt;=400,"Excellent",IF(Table1[[#This Row],[Total_Marks]]&gt;=300,"Good",IF(Table1[[#This Row],[Total_Marks]]&gt;=200,"Average","Below Average")))</f>
        <v>Average</v>
      </c>
    </row>
    <row r="554" spans="1:17" x14ac:dyDescent="0.3">
      <c r="A554" t="s">
        <v>565</v>
      </c>
      <c r="B554" t="s">
        <v>712</v>
      </c>
      <c r="C554" t="s">
        <v>828</v>
      </c>
      <c r="D554">
        <v>21</v>
      </c>
      <c r="E554" t="s">
        <v>834</v>
      </c>
      <c r="F554" t="s">
        <v>837</v>
      </c>
      <c r="G554">
        <v>74</v>
      </c>
      <c r="H554">
        <v>4.9000000000000004</v>
      </c>
      <c r="I554">
        <v>81</v>
      </c>
      <c r="J554">
        <v>71</v>
      </c>
      <c r="K554">
        <v>71</v>
      </c>
      <c r="L554">
        <v>88</v>
      </c>
      <c r="M554">
        <v>81</v>
      </c>
      <c r="N554">
        <f>SUM(Table1[[#This Row],[Math_Marks]:[Social_Marks]])</f>
        <v>392</v>
      </c>
      <c r="O554">
        <f>AVERAGE(Table1[[#This Row],[Math_Marks]:[Social_Marks]])</f>
        <v>78.400000000000006</v>
      </c>
      <c r="P554" t="str">
        <f>IF(Table1[[#This Row],[Total_Marks]]&gt;=400,"Top Performer","Need Improvement")</f>
        <v>Need Improvement</v>
      </c>
      <c r="Q554" t="str">
        <f>IF(Table1[[#This Row],[Total_Marks]]&gt;=400,"Excellent",IF(Table1[[#This Row],[Total_Marks]]&gt;=300,"Good",IF(Table1[[#This Row],[Total_Marks]]&gt;=200,"Average","Below Average")))</f>
        <v>Good</v>
      </c>
    </row>
    <row r="555" spans="1:17" x14ac:dyDescent="0.3">
      <c r="A555" t="s">
        <v>566</v>
      </c>
      <c r="B555" t="s">
        <v>798</v>
      </c>
      <c r="C555" t="s">
        <v>828</v>
      </c>
      <c r="D555">
        <v>21</v>
      </c>
      <c r="E555" t="s">
        <v>829</v>
      </c>
      <c r="F555" t="s">
        <v>838</v>
      </c>
      <c r="G555">
        <v>80</v>
      </c>
      <c r="H555">
        <v>2.7</v>
      </c>
      <c r="I555">
        <v>47</v>
      </c>
      <c r="J555">
        <v>73</v>
      </c>
      <c r="K555">
        <v>56</v>
      </c>
      <c r="L555">
        <v>62</v>
      </c>
      <c r="M555">
        <v>52</v>
      </c>
      <c r="N555">
        <f>SUM(Table1[[#This Row],[Math_Marks]:[Social_Marks]])</f>
        <v>290</v>
      </c>
      <c r="O555">
        <f>AVERAGE(Table1[[#This Row],[Math_Marks]:[Social_Marks]])</f>
        <v>58</v>
      </c>
      <c r="P555" t="str">
        <f>IF(Table1[[#This Row],[Total_Marks]]&gt;=400,"Top Performer","Need Improvement")</f>
        <v>Need Improvement</v>
      </c>
      <c r="Q555" t="str">
        <f>IF(Table1[[#This Row],[Total_Marks]]&gt;=400,"Excellent",IF(Table1[[#This Row],[Total_Marks]]&gt;=300,"Good",IF(Table1[[#This Row],[Total_Marks]]&gt;=200,"Average","Below Average")))</f>
        <v>Average</v>
      </c>
    </row>
    <row r="556" spans="1:17" x14ac:dyDescent="0.3">
      <c r="A556" t="s">
        <v>567</v>
      </c>
      <c r="B556" t="s">
        <v>622</v>
      </c>
      <c r="C556" t="s">
        <v>828</v>
      </c>
      <c r="D556">
        <v>18</v>
      </c>
      <c r="E556" t="s">
        <v>829</v>
      </c>
      <c r="F556" t="s">
        <v>842</v>
      </c>
      <c r="G556">
        <v>77</v>
      </c>
      <c r="H556">
        <v>2.5</v>
      </c>
      <c r="I556">
        <v>63</v>
      </c>
      <c r="J556">
        <v>72</v>
      </c>
      <c r="K556">
        <v>62</v>
      </c>
      <c r="L556">
        <v>64</v>
      </c>
      <c r="M556">
        <v>65</v>
      </c>
      <c r="N556">
        <f>SUM(Table1[[#This Row],[Math_Marks]:[Social_Marks]])</f>
        <v>326</v>
      </c>
      <c r="O556">
        <f>AVERAGE(Table1[[#This Row],[Math_Marks]:[Social_Marks]])</f>
        <v>65.2</v>
      </c>
      <c r="P556" t="str">
        <f>IF(Table1[[#This Row],[Total_Marks]]&gt;=400,"Top Performer","Need Improvement")</f>
        <v>Need Improvement</v>
      </c>
      <c r="Q556" t="str">
        <f>IF(Table1[[#This Row],[Total_Marks]]&gt;=400,"Excellent",IF(Table1[[#This Row],[Total_Marks]]&gt;=300,"Good",IF(Table1[[#This Row],[Total_Marks]]&gt;=200,"Average","Below Average")))</f>
        <v>Good</v>
      </c>
    </row>
    <row r="557" spans="1:17" x14ac:dyDescent="0.3">
      <c r="A557" t="s">
        <v>568</v>
      </c>
      <c r="B557" t="s">
        <v>798</v>
      </c>
      <c r="C557" t="s">
        <v>827</v>
      </c>
      <c r="D557">
        <v>20</v>
      </c>
      <c r="E557" t="s">
        <v>829</v>
      </c>
      <c r="F557" t="s">
        <v>839</v>
      </c>
      <c r="G557">
        <v>70</v>
      </c>
      <c r="H557">
        <v>5</v>
      </c>
      <c r="I557">
        <v>69</v>
      </c>
      <c r="J557">
        <v>48</v>
      </c>
      <c r="K557">
        <v>85</v>
      </c>
      <c r="L557">
        <v>61</v>
      </c>
      <c r="M557">
        <v>85</v>
      </c>
      <c r="N557">
        <f>SUM(Table1[[#This Row],[Math_Marks]:[Social_Marks]])</f>
        <v>348</v>
      </c>
      <c r="O557">
        <f>AVERAGE(Table1[[#This Row],[Math_Marks]:[Social_Marks]])</f>
        <v>69.599999999999994</v>
      </c>
      <c r="P557" t="str">
        <f>IF(Table1[[#This Row],[Total_Marks]]&gt;=400,"Top Performer","Need Improvement")</f>
        <v>Need Improvement</v>
      </c>
      <c r="Q557" t="str">
        <f>IF(Table1[[#This Row],[Total_Marks]]&gt;=400,"Excellent",IF(Table1[[#This Row],[Total_Marks]]&gt;=300,"Good",IF(Table1[[#This Row],[Total_Marks]]&gt;=200,"Average","Below Average")))</f>
        <v>Good</v>
      </c>
    </row>
    <row r="558" spans="1:17" x14ac:dyDescent="0.3">
      <c r="A558" t="s">
        <v>569</v>
      </c>
      <c r="B558" t="s">
        <v>686</v>
      </c>
      <c r="C558" t="s">
        <v>827</v>
      </c>
      <c r="D558">
        <v>22</v>
      </c>
      <c r="E558" t="s">
        <v>831</v>
      </c>
      <c r="F558" t="s">
        <v>839</v>
      </c>
      <c r="G558">
        <v>85</v>
      </c>
      <c r="H558">
        <v>2.1</v>
      </c>
      <c r="I558">
        <v>40</v>
      </c>
      <c r="J558">
        <v>57</v>
      </c>
      <c r="K558">
        <v>56</v>
      </c>
      <c r="L558">
        <v>65</v>
      </c>
      <c r="M558">
        <v>45</v>
      </c>
      <c r="N558">
        <f>SUM(Table1[[#This Row],[Math_Marks]:[Social_Marks]])</f>
        <v>263</v>
      </c>
      <c r="O558">
        <f>AVERAGE(Table1[[#This Row],[Math_Marks]:[Social_Marks]])</f>
        <v>52.6</v>
      </c>
      <c r="P558" t="str">
        <f>IF(Table1[[#This Row],[Total_Marks]]&gt;=400,"Top Performer","Need Improvement")</f>
        <v>Need Improvement</v>
      </c>
      <c r="Q558" t="str">
        <f>IF(Table1[[#This Row],[Total_Marks]]&gt;=400,"Excellent",IF(Table1[[#This Row],[Total_Marks]]&gt;=300,"Good",IF(Table1[[#This Row],[Total_Marks]]&gt;=200,"Average","Below Average")))</f>
        <v>Average</v>
      </c>
    </row>
    <row r="559" spans="1:17" x14ac:dyDescent="0.3">
      <c r="A559" t="s">
        <v>570</v>
      </c>
      <c r="B559" t="s">
        <v>822</v>
      </c>
      <c r="C559" t="s">
        <v>828</v>
      </c>
      <c r="D559">
        <v>20</v>
      </c>
      <c r="E559" t="s">
        <v>832</v>
      </c>
      <c r="F559" t="s">
        <v>838</v>
      </c>
      <c r="G559">
        <v>77</v>
      </c>
      <c r="H559">
        <v>4.5</v>
      </c>
      <c r="I559">
        <v>81</v>
      </c>
      <c r="J559">
        <v>66</v>
      </c>
      <c r="K559">
        <v>81</v>
      </c>
      <c r="L559">
        <v>73</v>
      </c>
      <c r="M559">
        <v>70</v>
      </c>
      <c r="N559">
        <f>SUM(Table1[[#This Row],[Math_Marks]:[Social_Marks]])</f>
        <v>371</v>
      </c>
      <c r="O559">
        <f>AVERAGE(Table1[[#This Row],[Math_Marks]:[Social_Marks]])</f>
        <v>74.2</v>
      </c>
      <c r="P559" t="str">
        <f>IF(Table1[[#This Row],[Total_Marks]]&gt;=400,"Top Performer","Need Improvement")</f>
        <v>Need Improvement</v>
      </c>
      <c r="Q559" t="str">
        <f>IF(Table1[[#This Row],[Total_Marks]]&gt;=400,"Excellent",IF(Table1[[#This Row],[Total_Marks]]&gt;=300,"Good",IF(Table1[[#This Row],[Total_Marks]]&gt;=200,"Average","Below Average")))</f>
        <v>Good</v>
      </c>
    </row>
    <row r="560" spans="1:17" x14ac:dyDescent="0.3">
      <c r="A560" t="s">
        <v>571</v>
      </c>
      <c r="B560" t="s">
        <v>753</v>
      </c>
      <c r="C560" t="s">
        <v>827</v>
      </c>
      <c r="D560">
        <v>19</v>
      </c>
      <c r="E560" t="s">
        <v>829</v>
      </c>
      <c r="F560" t="s">
        <v>842</v>
      </c>
      <c r="G560">
        <v>84</v>
      </c>
      <c r="H560">
        <v>4.0999999999999996</v>
      </c>
      <c r="I560">
        <v>84</v>
      </c>
      <c r="J560">
        <v>74</v>
      </c>
      <c r="K560">
        <v>58</v>
      </c>
      <c r="L560">
        <v>62</v>
      </c>
      <c r="M560">
        <v>62</v>
      </c>
      <c r="N560">
        <f>SUM(Table1[[#This Row],[Math_Marks]:[Social_Marks]])</f>
        <v>340</v>
      </c>
      <c r="O560">
        <f>AVERAGE(Table1[[#This Row],[Math_Marks]:[Social_Marks]])</f>
        <v>68</v>
      </c>
      <c r="P560" t="str">
        <f>IF(Table1[[#This Row],[Total_Marks]]&gt;=400,"Top Performer","Need Improvement")</f>
        <v>Need Improvement</v>
      </c>
      <c r="Q560" t="str">
        <f>IF(Table1[[#This Row],[Total_Marks]]&gt;=400,"Excellent",IF(Table1[[#This Row],[Total_Marks]]&gt;=300,"Good",IF(Table1[[#This Row],[Total_Marks]]&gt;=200,"Average","Below Average")))</f>
        <v>Good</v>
      </c>
    </row>
    <row r="561" spans="1:17" x14ac:dyDescent="0.3">
      <c r="A561" t="s">
        <v>572</v>
      </c>
      <c r="B561" t="s">
        <v>636</v>
      </c>
      <c r="C561" t="s">
        <v>828</v>
      </c>
      <c r="D561">
        <v>21</v>
      </c>
      <c r="E561" t="s">
        <v>834</v>
      </c>
      <c r="F561" t="s">
        <v>839</v>
      </c>
      <c r="G561">
        <v>95</v>
      </c>
      <c r="H561">
        <v>1.8</v>
      </c>
      <c r="I561">
        <v>47</v>
      </c>
      <c r="J561">
        <v>48</v>
      </c>
      <c r="K561">
        <v>67</v>
      </c>
      <c r="L561">
        <v>59</v>
      </c>
      <c r="M561">
        <v>59</v>
      </c>
      <c r="N561">
        <f>SUM(Table1[[#This Row],[Math_Marks]:[Social_Marks]])</f>
        <v>280</v>
      </c>
      <c r="O561">
        <f>AVERAGE(Table1[[#This Row],[Math_Marks]:[Social_Marks]])</f>
        <v>56</v>
      </c>
      <c r="P561" t="str">
        <f>IF(Table1[[#This Row],[Total_Marks]]&gt;=400,"Top Performer","Need Improvement")</f>
        <v>Need Improvement</v>
      </c>
      <c r="Q561" t="str">
        <f>IF(Table1[[#This Row],[Total_Marks]]&gt;=400,"Excellent",IF(Table1[[#This Row],[Total_Marks]]&gt;=300,"Good",IF(Table1[[#This Row],[Total_Marks]]&gt;=200,"Average","Below Average")))</f>
        <v>Average</v>
      </c>
    </row>
    <row r="562" spans="1:17" x14ac:dyDescent="0.3">
      <c r="A562" t="s">
        <v>573</v>
      </c>
      <c r="B562" t="s">
        <v>721</v>
      </c>
      <c r="C562" t="s">
        <v>828</v>
      </c>
      <c r="D562">
        <v>19</v>
      </c>
      <c r="E562" t="s">
        <v>833</v>
      </c>
      <c r="F562" t="s">
        <v>837</v>
      </c>
      <c r="G562">
        <v>89</v>
      </c>
      <c r="H562">
        <v>4.5</v>
      </c>
      <c r="I562">
        <v>76</v>
      </c>
      <c r="J562">
        <v>76</v>
      </c>
      <c r="K562">
        <v>79</v>
      </c>
      <c r="L562">
        <v>85</v>
      </c>
      <c r="M562">
        <v>66</v>
      </c>
      <c r="N562">
        <f>SUM(Table1[[#This Row],[Math_Marks]:[Social_Marks]])</f>
        <v>382</v>
      </c>
      <c r="O562">
        <f>AVERAGE(Table1[[#This Row],[Math_Marks]:[Social_Marks]])</f>
        <v>76.400000000000006</v>
      </c>
      <c r="P562" t="str">
        <f>IF(Table1[[#This Row],[Total_Marks]]&gt;=400,"Top Performer","Need Improvement")</f>
        <v>Need Improvement</v>
      </c>
      <c r="Q562" t="str">
        <f>IF(Table1[[#This Row],[Total_Marks]]&gt;=400,"Excellent",IF(Table1[[#This Row],[Total_Marks]]&gt;=300,"Good",IF(Table1[[#This Row],[Total_Marks]]&gt;=200,"Average","Below Average")))</f>
        <v>Good</v>
      </c>
    </row>
    <row r="563" spans="1:17" x14ac:dyDescent="0.3">
      <c r="A563" t="s">
        <v>574</v>
      </c>
      <c r="B563" t="s">
        <v>717</v>
      </c>
      <c r="C563" t="s">
        <v>827</v>
      </c>
      <c r="D563">
        <v>19</v>
      </c>
      <c r="E563" t="s">
        <v>830</v>
      </c>
      <c r="F563" t="s">
        <v>840</v>
      </c>
      <c r="G563">
        <v>63</v>
      </c>
      <c r="H563">
        <v>3.6</v>
      </c>
      <c r="I563">
        <v>83</v>
      </c>
      <c r="J563">
        <v>72</v>
      </c>
      <c r="K563">
        <v>85</v>
      </c>
      <c r="L563">
        <v>69</v>
      </c>
      <c r="M563">
        <v>77</v>
      </c>
      <c r="N563">
        <f>SUM(Table1[[#This Row],[Math_Marks]:[Social_Marks]])</f>
        <v>386</v>
      </c>
      <c r="O563">
        <f>AVERAGE(Table1[[#This Row],[Math_Marks]:[Social_Marks]])</f>
        <v>77.2</v>
      </c>
      <c r="P563" t="str">
        <f>IF(Table1[[#This Row],[Total_Marks]]&gt;=400,"Top Performer","Need Improvement")</f>
        <v>Need Improvement</v>
      </c>
      <c r="Q563" t="str">
        <f>IF(Table1[[#This Row],[Total_Marks]]&gt;=400,"Excellent",IF(Table1[[#This Row],[Total_Marks]]&gt;=300,"Good",IF(Table1[[#This Row],[Total_Marks]]&gt;=200,"Average","Below Average")))</f>
        <v>Good</v>
      </c>
    </row>
    <row r="564" spans="1:17" x14ac:dyDescent="0.3">
      <c r="A564" t="s">
        <v>575</v>
      </c>
      <c r="B564" t="s">
        <v>628</v>
      </c>
      <c r="C564" t="s">
        <v>827</v>
      </c>
      <c r="D564">
        <v>21</v>
      </c>
      <c r="E564" t="s">
        <v>830</v>
      </c>
      <c r="F564" t="s">
        <v>842</v>
      </c>
      <c r="G564">
        <v>63</v>
      </c>
      <c r="H564">
        <v>5.7</v>
      </c>
      <c r="I564">
        <v>57</v>
      </c>
      <c r="J564">
        <v>54</v>
      </c>
      <c r="K564">
        <v>62</v>
      </c>
      <c r="L564">
        <v>77</v>
      </c>
      <c r="M564">
        <v>80</v>
      </c>
      <c r="N564">
        <f>SUM(Table1[[#This Row],[Math_Marks]:[Social_Marks]])</f>
        <v>330</v>
      </c>
      <c r="O564">
        <f>AVERAGE(Table1[[#This Row],[Math_Marks]:[Social_Marks]])</f>
        <v>66</v>
      </c>
      <c r="P564" t="str">
        <f>IF(Table1[[#This Row],[Total_Marks]]&gt;=400,"Top Performer","Need Improvement")</f>
        <v>Need Improvement</v>
      </c>
      <c r="Q564" t="str">
        <f>IF(Table1[[#This Row],[Total_Marks]]&gt;=400,"Excellent",IF(Table1[[#This Row],[Total_Marks]]&gt;=300,"Good",IF(Table1[[#This Row],[Total_Marks]]&gt;=200,"Average","Below Average")))</f>
        <v>Good</v>
      </c>
    </row>
    <row r="565" spans="1:17" x14ac:dyDescent="0.3">
      <c r="A565" t="s">
        <v>576</v>
      </c>
      <c r="B565" t="s">
        <v>816</v>
      </c>
      <c r="C565" t="s">
        <v>827</v>
      </c>
      <c r="D565">
        <v>19</v>
      </c>
      <c r="E565" t="s">
        <v>833</v>
      </c>
      <c r="F565" t="s">
        <v>835</v>
      </c>
      <c r="G565">
        <v>90</v>
      </c>
      <c r="H565">
        <v>4.2</v>
      </c>
      <c r="I565">
        <v>64</v>
      </c>
      <c r="J565">
        <v>59</v>
      </c>
      <c r="K565">
        <v>76</v>
      </c>
      <c r="L565">
        <v>68</v>
      </c>
      <c r="M565">
        <v>69</v>
      </c>
      <c r="N565">
        <f>SUM(Table1[[#This Row],[Math_Marks]:[Social_Marks]])</f>
        <v>336</v>
      </c>
      <c r="O565">
        <f>AVERAGE(Table1[[#This Row],[Math_Marks]:[Social_Marks]])</f>
        <v>67.2</v>
      </c>
      <c r="P565" t="str">
        <f>IF(Table1[[#This Row],[Total_Marks]]&gt;=400,"Top Performer","Need Improvement")</f>
        <v>Need Improvement</v>
      </c>
      <c r="Q565" t="str">
        <f>IF(Table1[[#This Row],[Total_Marks]]&gt;=400,"Excellent",IF(Table1[[#This Row],[Total_Marks]]&gt;=300,"Good",IF(Table1[[#This Row],[Total_Marks]]&gt;=200,"Average","Below Average")))</f>
        <v>Good</v>
      </c>
    </row>
    <row r="566" spans="1:17" x14ac:dyDescent="0.3">
      <c r="A566" t="s">
        <v>577</v>
      </c>
      <c r="B566" t="s">
        <v>732</v>
      </c>
      <c r="C566" t="s">
        <v>828</v>
      </c>
      <c r="D566">
        <v>21</v>
      </c>
      <c r="E566" t="s">
        <v>829</v>
      </c>
      <c r="F566" t="s">
        <v>835</v>
      </c>
      <c r="G566">
        <v>93</v>
      </c>
      <c r="H566">
        <v>1</v>
      </c>
      <c r="I566">
        <v>44</v>
      </c>
      <c r="J566">
        <v>67</v>
      </c>
      <c r="K566">
        <v>55</v>
      </c>
      <c r="L566">
        <v>47</v>
      </c>
      <c r="M566">
        <v>54</v>
      </c>
      <c r="N566">
        <f>SUM(Table1[[#This Row],[Math_Marks]:[Social_Marks]])</f>
        <v>267</v>
      </c>
      <c r="O566">
        <f>AVERAGE(Table1[[#This Row],[Math_Marks]:[Social_Marks]])</f>
        <v>53.4</v>
      </c>
      <c r="P566" t="str">
        <f>IF(Table1[[#This Row],[Total_Marks]]&gt;=400,"Top Performer","Need Improvement")</f>
        <v>Need Improvement</v>
      </c>
      <c r="Q566" t="str">
        <f>IF(Table1[[#This Row],[Total_Marks]]&gt;=400,"Excellent",IF(Table1[[#This Row],[Total_Marks]]&gt;=300,"Good",IF(Table1[[#This Row],[Total_Marks]]&gt;=200,"Average","Below Average")))</f>
        <v>Average</v>
      </c>
    </row>
    <row r="567" spans="1:17" x14ac:dyDescent="0.3">
      <c r="A567" t="s">
        <v>578</v>
      </c>
      <c r="B567" t="s">
        <v>688</v>
      </c>
      <c r="C567" t="s">
        <v>827</v>
      </c>
      <c r="D567">
        <v>22</v>
      </c>
      <c r="E567" t="s">
        <v>834</v>
      </c>
      <c r="F567" t="s">
        <v>839</v>
      </c>
      <c r="G567">
        <v>89</v>
      </c>
      <c r="H567">
        <v>1</v>
      </c>
      <c r="I567">
        <v>60</v>
      </c>
      <c r="J567">
        <v>40</v>
      </c>
      <c r="K567">
        <v>54</v>
      </c>
      <c r="L567">
        <v>52</v>
      </c>
      <c r="M567">
        <v>66</v>
      </c>
      <c r="N567">
        <f>SUM(Table1[[#This Row],[Math_Marks]:[Social_Marks]])</f>
        <v>272</v>
      </c>
      <c r="O567">
        <f>AVERAGE(Table1[[#This Row],[Math_Marks]:[Social_Marks]])</f>
        <v>54.4</v>
      </c>
      <c r="P567" t="str">
        <f>IF(Table1[[#This Row],[Total_Marks]]&gt;=400,"Top Performer","Need Improvement")</f>
        <v>Need Improvement</v>
      </c>
      <c r="Q567" t="str">
        <f>IF(Table1[[#This Row],[Total_Marks]]&gt;=400,"Excellent",IF(Table1[[#This Row],[Total_Marks]]&gt;=300,"Good",IF(Table1[[#This Row],[Total_Marks]]&gt;=200,"Average","Below Average")))</f>
        <v>Average</v>
      </c>
    </row>
    <row r="568" spans="1:17" x14ac:dyDescent="0.3">
      <c r="A568" t="s">
        <v>579</v>
      </c>
      <c r="B568" t="s">
        <v>743</v>
      </c>
      <c r="C568" t="s">
        <v>827</v>
      </c>
      <c r="D568">
        <v>22</v>
      </c>
      <c r="E568" t="s">
        <v>830</v>
      </c>
      <c r="F568" t="s">
        <v>840</v>
      </c>
      <c r="G568">
        <v>70</v>
      </c>
      <c r="H568">
        <v>3.5</v>
      </c>
      <c r="I568">
        <v>56</v>
      </c>
      <c r="J568">
        <v>64</v>
      </c>
      <c r="K568">
        <v>62</v>
      </c>
      <c r="L568">
        <v>51</v>
      </c>
      <c r="M568">
        <v>58</v>
      </c>
      <c r="N568">
        <f>SUM(Table1[[#This Row],[Math_Marks]:[Social_Marks]])</f>
        <v>291</v>
      </c>
      <c r="O568">
        <f>AVERAGE(Table1[[#This Row],[Math_Marks]:[Social_Marks]])</f>
        <v>58.2</v>
      </c>
      <c r="P568" t="str">
        <f>IF(Table1[[#This Row],[Total_Marks]]&gt;=400,"Top Performer","Need Improvement")</f>
        <v>Need Improvement</v>
      </c>
      <c r="Q568" t="str">
        <f>IF(Table1[[#This Row],[Total_Marks]]&gt;=400,"Excellent",IF(Table1[[#This Row],[Total_Marks]]&gt;=300,"Good",IF(Table1[[#This Row],[Total_Marks]]&gt;=200,"Average","Below Average")))</f>
        <v>Average</v>
      </c>
    </row>
    <row r="569" spans="1:17" x14ac:dyDescent="0.3">
      <c r="A569" t="s">
        <v>580</v>
      </c>
      <c r="B569" t="s">
        <v>633</v>
      </c>
      <c r="C569" t="s">
        <v>828</v>
      </c>
      <c r="D569">
        <v>18</v>
      </c>
      <c r="E569" t="s">
        <v>829</v>
      </c>
      <c r="F569" t="s">
        <v>837</v>
      </c>
      <c r="G569">
        <v>80</v>
      </c>
      <c r="H569">
        <v>3.7</v>
      </c>
      <c r="I569">
        <v>63</v>
      </c>
      <c r="J569">
        <v>46</v>
      </c>
      <c r="K569">
        <v>60</v>
      </c>
      <c r="L569">
        <v>47</v>
      </c>
      <c r="M569">
        <v>47</v>
      </c>
      <c r="N569">
        <f>SUM(Table1[[#This Row],[Math_Marks]:[Social_Marks]])</f>
        <v>263</v>
      </c>
      <c r="O569">
        <f>AVERAGE(Table1[[#This Row],[Math_Marks]:[Social_Marks]])</f>
        <v>52.6</v>
      </c>
      <c r="P569" t="str">
        <f>IF(Table1[[#This Row],[Total_Marks]]&gt;=400,"Top Performer","Need Improvement")</f>
        <v>Need Improvement</v>
      </c>
      <c r="Q569" t="str">
        <f>IF(Table1[[#This Row],[Total_Marks]]&gt;=400,"Excellent",IF(Table1[[#This Row],[Total_Marks]]&gt;=300,"Good",IF(Table1[[#This Row],[Total_Marks]]&gt;=200,"Average","Below Average")))</f>
        <v>Average</v>
      </c>
    </row>
    <row r="570" spans="1:17" x14ac:dyDescent="0.3">
      <c r="A570" t="s">
        <v>581</v>
      </c>
      <c r="B570" t="s">
        <v>709</v>
      </c>
      <c r="C570" t="s">
        <v>827</v>
      </c>
      <c r="D570">
        <v>22</v>
      </c>
      <c r="E570" t="s">
        <v>834</v>
      </c>
      <c r="F570" t="s">
        <v>842</v>
      </c>
      <c r="G570">
        <v>88</v>
      </c>
      <c r="H570">
        <v>3.4</v>
      </c>
      <c r="I570">
        <v>59</v>
      </c>
      <c r="J570">
        <v>71</v>
      </c>
      <c r="K570">
        <v>58</v>
      </c>
      <c r="L570">
        <v>76</v>
      </c>
      <c r="M570">
        <v>61</v>
      </c>
      <c r="N570">
        <f>SUM(Table1[[#This Row],[Math_Marks]:[Social_Marks]])</f>
        <v>325</v>
      </c>
      <c r="O570">
        <f>AVERAGE(Table1[[#This Row],[Math_Marks]:[Social_Marks]])</f>
        <v>65</v>
      </c>
      <c r="P570" t="str">
        <f>IF(Table1[[#This Row],[Total_Marks]]&gt;=400,"Top Performer","Need Improvement")</f>
        <v>Need Improvement</v>
      </c>
      <c r="Q570" t="str">
        <f>IF(Table1[[#This Row],[Total_Marks]]&gt;=400,"Excellent",IF(Table1[[#This Row],[Total_Marks]]&gt;=300,"Good",IF(Table1[[#This Row],[Total_Marks]]&gt;=200,"Average","Below Average")))</f>
        <v>Good</v>
      </c>
    </row>
    <row r="571" spans="1:17" x14ac:dyDescent="0.3">
      <c r="A571" t="s">
        <v>582</v>
      </c>
      <c r="B571" t="s">
        <v>613</v>
      </c>
      <c r="C571" t="s">
        <v>827</v>
      </c>
      <c r="D571">
        <v>18</v>
      </c>
      <c r="E571" t="s">
        <v>832</v>
      </c>
      <c r="F571" t="s">
        <v>840</v>
      </c>
      <c r="G571">
        <v>79</v>
      </c>
      <c r="H571">
        <v>3.8</v>
      </c>
      <c r="I571">
        <v>65</v>
      </c>
      <c r="J571">
        <v>69</v>
      </c>
      <c r="K571">
        <v>70</v>
      </c>
      <c r="L571">
        <v>77</v>
      </c>
      <c r="M571">
        <v>69</v>
      </c>
      <c r="N571">
        <f>SUM(Table1[[#This Row],[Math_Marks]:[Social_Marks]])</f>
        <v>350</v>
      </c>
      <c r="O571">
        <f>AVERAGE(Table1[[#This Row],[Math_Marks]:[Social_Marks]])</f>
        <v>70</v>
      </c>
      <c r="P571" t="str">
        <f>IF(Table1[[#This Row],[Total_Marks]]&gt;=400,"Top Performer","Need Improvement")</f>
        <v>Need Improvement</v>
      </c>
      <c r="Q571" t="str">
        <f>IF(Table1[[#This Row],[Total_Marks]]&gt;=400,"Excellent",IF(Table1[[#This Row],[Total_Marks]]&gt;=300,"Good",IF(Table1[[#This Row],[Total_Marks]]&gt;=200,"Average","Below Average")))</f>
        <v>Good</v>
      </c>
    </row>
    <row r="572" spans="1:17" x14ac:dyDescent="0.3">
      <c r="A572" t="s">
        <v>583</v>
      </c>
      <c r="B572" t="s">
        <v>810</v>
      </c>
      <c r="C572" t="s">
        <v>827</v>
      </c>
      <c r="D572">
        <v>20</v>
      </c>
      <c r="E572" t="s">
        <v>834</v>
      </c>
      <c r="F572" t="s">
        <v>835</v>
      </c>
      <c r="G572">
        <v>80</v>
      </c>
      <c r="H572">
        <v>1.8</v>
      </c>
      <c r="I572">
        <v>44</v>
      </c>
      <c r="J572">
        <v>58</v>
      </c>
      <c r="K572">
        <v>48</v>
      </c>
      <c r="L572">
        <v>45</v>
      </c>
      <c r="M572">
        <v>58</v>
      </c>
      <c r="N572">
        <f>SUM(Table1[[#This Row],[Math_Marks]:[Social_Marks]])</f>
        <v>253</v>
      </c>
      <c r="O572">
        <f>AVERAGE(Table1[[#This Row],[Math_Marks]:[Social_Marks]])</f>
        <v>50.6</v>
      </c>
      <c r="P572" t="str">
        <f>IF(Table1[[#This Row],[Total_Marks]]&gt;=400,"Top Performer","Need Improvement")</f>
        <v>Need Improvement</v>
      </c>
      <c r="Q572" t="str">
        <f>IF(Table1[[#This Row],[Total_Marks]]&gt;=400,"Excellent",IF(Table1[[#This Row],[Total_Marks]]&gt;=300,"Good",IF(Table1[[#This Row],[Total_Marks]]&gt;=200,"Average","Below Average")))</f>
        <v>Average</v>
      </c>
    </row>
    <row r="573" spans="1:17" x14ac:dyDescent="0.3">
      <c r="A573" t="s">
        <v>584</v>
      </c>
      <c r="B573" t="s">
        <v>647</v>
      </c>
      <c r="C573" t="s">
        <v>827</v>
      </c>
      <c r="D573">
        <v>18</v>
      </c>
      <c r="E573" t="s">
        <v>831</v>
      </c>
      <c r="F573" t="s">
        <v>836</v>
      </c>
      <c r="G573">
        <v>77</v>
      </c>
      <c r="H573">
        <v>6.5</v>
      </c>
      <c r="I573">
        <v>73</v>
      </c>
      <c r="J573">
        <v>81</v>
      </c>
      <c r="K573">
        <v>84</v>
      </c>
      <c r="L573">
        <v>71</v>
      </c>
      <c r="M573">
        <v>77</v>
      </c>
      <c r="N573">
        <f>SUM(Table1[[#This Row],[Math_Marks]:[Social_Marks]])</f>
        <v>386</v>
      </c>
      <c r="O573">
        <f>AVERAGE(Table1[[#This Row],[Math_Marks]:[Social_Marks]])</f>
        <v>77.2</v>
      </c>
      <c r="P573" t="str">
        <f>IF(Table1[[#This Row],[Total_Marks]]&gt;=400,"Top Performer","Need Improvement")</f>
        <v>Need Improvement</v>
      </c>
      <c r="Q573" t="str">
        <f>IF(Table1[[#This Row],[Total_Marks]]&gt;=400,"Excellent",IF(Table1[[#This Row],[Total_Marks]]&gt;=300,"Good",IF(Table1[[#This Row],[Total_Marks]]&gt;=200,"Average","Below Average")))</f>
        <v>Good</v>
      </c>
    </row>
    <row r="574" spans="1:17" x14ac:dyDescent="0.3">
      <c r="A574" t="s">
        <v>585</v>
      </c>
      <c r="B574" t="s">
        <v>812</v>
      </c>
      <c r="C574" t="s">
        <v>827</v>
      </c>
      <c r="D574">
        <v>18</v>
      </c>
      <c r="E574" t="s">
        <v>832</v>
      </c>
      <c r="F574" t="s">
        <v>840</v>
      </c>
      <c r="G574">
        <v>71</v>
      </c>
      <c r="H574">
        <v>2.2999999999999998</v>
      </c>
      <c r="I574">
        <v>56</v>
      </c>
      <c r="J574">
        <v>49</v>
      </c>
      <c r="K574">
        <v>47</v>
      </c>
      <c r="L574">
        <v>52</v>
      </c>
      <c r="M574">
        <v>43</v>
      </c>
      <c r="N574">
        <f>SUM(Table1[[#This Row],[Math_Marks]:[Social_Marks]])</f>
        <v>247</v>
      </c>
      <c r="O574">
        <f>AVERAGE(Table1[[#This Row],[Math_Marks]:[Social_Marks]])</f>
        <v>49.4</v>
      </c>
      <c r="P574" t="str">
        <f>IF(Table1[[#This Row],[Total_Marks]]&gt;=400,"Top Performer","Need Improvement")</f>
        <v>Need Improvement</v>
      </c>
      <c r="Q574" t="str">
        <f>IF(Table1[[#This Row],[Total_Marks]]&gt;=400,"Excellent",IF(Table1[[#This Row],[Total_Marks]]&gt;=300,"Good",IF(Table1[[#This Row],[Total_Marks]]&gt;=200,"Average","Below Average")))</f>
        <v>Average</v>
      </c>
    </row>
    <row r="575" spans="1:17" x14ac:dyDescent="0.3">
      <c r="A575" t="s">
        <v>586</v>
      </c>
      <c r="B575" t="s">
        <v>690</v>
      </c>
      <c r="C575" t="s">
        <v>827</v>
      </c>
      <c r="D575">
        <v>22</v>
      </c>
      <c r="E575" t="s">
        <v>829</v>
      </c>
      <c r="F575" t="s">
        <v>836</v>
      </c>
      <c r="G575">
        <v>80</v>
      </c>
      <c r="H575">
        <v>4.4000000000000004</v>
      </c>
      <c r="I575">
        <v>56</v>
      </c>
      <c r="J575">
        <v>77</v>
      </c>
      <c r="K575">
        <v>51</v>
      </c>
      <c r="L575">
        <v>51</v>
      </c>
      <c r="M575">
        <v>58</v>
      </c>
      <c r="N575">
        <f>SUM(Table1[[#This Row],[Math_Marks]:[Social_Marks]])</f>
        <v>293</v>
      </c>
      <c r="O575">
        <f>AVERAGE(Table1[[#This Row],[Math_Marks]:[Social_Marks]])</f>
        <v>58.6</v>
      </c>
      <c r="P575" t="str">
        <f>IF(Table1[[#This Row],[Total_Marks]]&gt;=400,"Top Performer","Need Improvement")</f>
        <v>Need Improvement</v>
      </c>
      <c r="Q575" t="str">
        <f>IF(Table1[[#This Row],[Total_Marks]]&gt;=400,"Excellent",IF(Table1[[#This Row],[Total_Marks]]&gt;=300,"Good",IF(Table1[[#This Row],[Total_Marks]]&gt;=200,"Average","Below Average")))</f>
        <v>Average</v>
      </c>
    </row>
    <row r="576" spans="1:17" x14ac:dyDescent="0.3">
      <c r="A576" t="s">
        <v>587</v>
      </c>
      <c r="B576" t="s">
        <v>760</v>
      </c>
      <c r="C576" t="s">
        <v>828</v>
      </c>
      <c r="D576">
        <v>21</v>
      </c>
      <c r="E576" t="s">
        <v>830</v>
      </c>
      <c r="F576" t="s">
        <v>839</v>
      </c>
      <c r="G576">
        <v>87</v>
      </c>
      <c r="H576">
        <v>7.7</v>
      </c>
      <c r="I576">
        <v>76</v>
      </c>
      <c r="J576">
        <v>88</v>
      </c>
      <c r="K576">
        <v>75</v>
      </c>
      <c r="L576">
        <v>95</v>
      </c>
      <c r="M576">
        <v>78</v>
      </c>
      <c r="N576">
        <f>SUM(Table1[[#This Row],[Math_Marks]:[Social_Marks]])</f>
        <v>412</v>
      </c>
      <c r="O576">
        <f>AVERAGE(Table1[[#This Row],[Math_Marks]:[Social_Marks]])</f>
        <v>82.4</v>
      </c>
      <c r="P576" t="str">
        <f>IF(Table1[[#This Row],[Total_Marks]]&gt;=400,"Top Performer","Need Improvement")</f>
        <v>Top Performer</v>
      </c>
      <c r="Q576" t="str">
        <f>IF(Table1[[#This Row],[Total_Marks]]&gt;=400,"Excellent",IF(Table1[[#This Row],[Total_Marks]]&gt;=300,"Good",IF(Table1[[#This Row],[Total_Marks]]&gt;=200,"Average","Below Average")))</f>
        <v>Excellent</v>
      </c>
    </row>
    <row r="577" spans="1:17" x14ac:dyDescent="0.3">
      <c r="A577" t="s">
        <v>588</v>
      </c>
      <c r="B577" t="s">
        <v>728</v>
      </c>
      <c r="C577" t="s">
        <v>827</v>
      </c>
      <c r="D577">
        <v>18</v>
      </c>
      <c r="E577" t="s">
        <v>832</v>
      </c>
      <c r="F577" t="s">
        <v>842</v>
      </c>
      <c r="G577">
        <v>95</v>
      </c>
      <c r="H577">
        <v>4</v>
      </c>
      <c r="I577">
        <v>55</v>
      </c>
      <c r="J577">
        <v>49</v>
      </c>
      <c r="K577">
        <v>54</v>
      </c>
      <c r="L577">
        <v>65</v>
      </c>
      <c r="M577">
        <v>72</v>
      </c>
      <c r="N577">
        <f>SUM(Table1[[#This Row],[Math_Marks]:[Social_Marks]])</f>
        <v>295</v>
      </c>
      <c r="O577">
        <f>AVERAGE(Table1[[#This Row],[Math_Marks]:[Social_Marks]])</f>
        <v>59</v>
      </c>
      <c r="P577" t="str">
        <f>IF(Table1[[#This Row],[Total_Marks]]&gt;=400,"Top Performer","Need Improvement")</f>
        <v>Need Improvement</v>
      </c>
      <c r="Q577" t="str">
        <f>IF(Table1[[#This Row],[Total_Marks]]&gt;=400,"Excellent",IF(Table1[[#This Row],[Total_Marks]]&gt;=300,"Good",IF(Table1[[#This Row],[Total_Marks]]&gt;=200,"Average","Below Average")))</f>
        <v>Average</v>
      </c>
    </row>
    <row r="578" spans="1:17" x14ac:dyDescent="0.3">
      <c r="A578" t="s">
        <v>589</v>
      </c>
      <c r="B578" t="s">
        <v>740</v>
      </c>
      <c r="C578" t="s">
        <v>828</v>
      </c>
      <c r="D578">
        <v>19</v>
      </c>
      <c r="E578" t="s">
        <v>834</v>
      </c>
      <c r="F578" t="s">
        <v>837</v>
      </c>
      <c r="G578">
        <v>79</v>
      </c>
      <c r="H578">
        <v>2.2000000000000002</v>
      </c>
      <c r="I578">
        <v>81</v>
      </c>
      <c r="J578">
        <v>50</v>
      </c>
      <c r="K578">
        <v>61</v>
      </c>
      <c r="L578">
        <v>74</v>
      </c>
      <c r="M578">
        <v>53</v>
      </c>
      <c r="N578">
        <f>SUM(Table1[[#This Row],[Math_Marks]:[Social_Marks]])</f>
        <v>319</v>
      </c>
      <c r="O578">
        <f>AVERAGE(Table1[[#This Row],[Math_Marks]:[Social_Marks]])</f>
        <v>63.8</v>
      </c>
      <c r="P578" t="str">
        <f>IF(Table1[[#This Row],[Total_Marks]]&gt;=400,"Top Performer","Need Improvement")</f>
        <v>Need Improvement</v>
      </c>
      <c r="Q578" t="str">
        <f>IF(Table1[[#This Row],[Total_Marks]]&gt;=400,"Excellent",IF(Table1[[#This Row],[Total_Marks]]&gt;=300,"Good",IF(Table1[[#This Row],[Total_Marks]]&gt;=200,"Average","Below Average")))</f>
        <v>Good</v>
      </c>
    </row>
    <row r="579" spans="1:17" x14ac:dyDescent="0.3">
      <c r="A579" t="s">
        <v>590</v>
      </c>
      <c r="B579" t="s">
        <v>651</v>
      </c>
      <c r="C579" t="s">
        <v>828</v>
      </c>
      <c r="D579">
        <v>18</v>
      </c>
      <c r="E579" t="s">
        <v>833</v>
      </c>
      <c r="F579" t="s">
        <v>838</v>
      </c>
      <c r="G579">
        <v>84</v>
      </c>
      <c r="H579">
        <v>4.5999999999999996</v>
      </c>
      <c r="I579">
        <v>96</v>
      </c>
      <c r="J579">
        <v>80</v>
      </c>
      <c r="K579">
        <v>76</v>
      </c>
      <c r="L579">
        <v>73</v>
      </c>
      <c r="M579">
        <v>88</v>
      </c>
      <c r="N579">
        <f>SUM(Table1[[#This Row],[Math_Marks]:[Social_Marks]])</f>
        <v>413</v>
      </c>
      <c r="O579">
        <f>AVERAGE(Table1[[#This Row],[Math_Marks]:[Social_Marks]])</f>
        <v>82.6</v>
      </c>
      <c r="P579" t="str">
        <f>IF(Table1[[#This Row],[Total_Marks]]&gt;=400,"Top Performer","Need Improvement")</f>
        <v>Top Performer</v>
      </c>
      <c r="Q579" t="str">
        <f>IF(Table1[[#This Row],[Total_Marks]]&gt;=400,"Excellent",IF(Table1[[#This Row],[Total_Marks]]&gt;=300,"Good",IF(Table1[[#This Row],[Total_Marks]]&gt;=200,"Average","Below Average")))</f>
        <v>Excellent</v>
      </c>
    </row>
    <row r="580" spans="1:17" x14ac:dyDescent="0.3">
      <c r="A580" t="s">
        <v>591</v>
      </c>
      <c r="B580" t="s">
        <v>823</v>
      </c>
      <c r="C580" t="s">
        <v>827</v>
      </c>
      <c r="D580">
        <v>22</v>
      </c>
      <c r="E580" t="s">
        <v>831</v>
      </c>
      <c r="F580" t="s">
        <v>842</v>
      </c>
      <c r="G580">
        <v>77</v>
      </c>
      <c r="H580">
        <v>4.2</v>
      </c>
      <c r="I580">
        <v>82</v>
      </c>
      <c r="J580">
        <v>79</v>
      </c>
      <c r="K580">
        <v>91</v>
      </c>
      <c r="L580">
        <v>85</v>
      </c>
      <c r="M580">
        <v>94</v>
      </c>
      <c r="N580">
        <f>SUM(Table1[[#This Row],[Math_Marks]:[Social_Marks]])</f>
        <v>431</v>
      </c>
      <c r="O580">
        <f>AVERAGE(Table1[[#This Row],[Math_Marks]:[Social_Marks]])</f>
        <v>86.2</v>
      </c>
      <c r="P580" t="str">
        <f>IF(Table1[[#This Row],[Total_Marks]]&gt;=400,"Top Performer","Need Improvement")</f>
        <v>Top Performer</v>
      </c>
      <c r="Q580" t="str">
        <f>IF(Table1[[#This Row],[Total_Marks]]&gt;=400,"Excellent",IF(Table1[[#This Row],[Total_Marks]]&gt;=300,"Good",IF(Table1[[#This Row],[Total_Marks]]&gt;=200,"Average","Below Average")))</f>
        <v>Excellent</v>
      </c>
    </row>
    <row r="581" spans="1:17" x14ac:dyDescent="0.3">
      <c r="A581" t="s">
        <v>592</v>
      </c>
      <c r="B581" t="s">
        <v>824</v>
      </c>
      <c r="C581" t="s">
        <v>827</v>
      </c>
      <c r="D581">
        <v>19</v>
      </c>
      <c r="E581" t="s">
        <v>829</v>
      </c>
      <c r="F581" t="s">
        <v>839</v>
      </c>
      <c r="G581">
        <v>67</v>
      </c>
      <c r="H581">
        <v>1</v>
      </c>
      <c r="I581">
        <v>41</v>
      </c>
      <c r="J581">
        <v>62</v>
      </c>
      <c r="K581">
        <v>53</v>
      </c>
      <c r="L581">
        <v>50</v>
      </c>
      <c r="M581">
        <v>46</v>
      </c>
      <c r="N581">
        <f>SUM(Table1[[#This Row],[Math_Marks]:[Social_Marks]])</f>
        <v>252</v>
      </c>
      <c r="O581">
        <f>AVERAGE(Table1[[#This Row],[Math_Marks]:[Social_Marks]])</f>
        <v>50.4</v>
      </c>
      <c r="P581" t="str">
        <f>IF(Table1[[#This Row],[Total_Marks]]&gt;=400,"Top Performer","Need Improvement")</f>
        <v>Need Improvement</v>
      </c>
      <c r="Q581" t="str">
        <f>IF(Table1[[#This Row],[Total_Marks]]&gt;=400,"Excellent",IF(Table1[[#This Row],[Total_Marks]]&gt;=300,"Good",IF(Table1[[#This Row],[Total_Marks]]&gt;=200,"Average","Below Average")))</f>
        <v>Average</v>
      </c>
    </row>
    <row r="582" spans="1:17" x14ac:dyDescent="0.3">
      <c r="A582" t="s">
        <v>593</v>
      </c>
      <c r="B582" t="s">
        <v>825</v>
      </c>
      <c r="C582" t="s">
        <v>828</v>
      </c>
      <c r="D582">
        <v>21</v>
      </c>
      <c r="E582" t="s">
        <v>833</v>
      </c>
      <c r="F582" t="s">
        <v>841</v>
      </c>
      <c r="G582">
        <v>92</v>
      </c>
      <c r="H582">
        <v>4.3</v>
      </c>
      <c r="I582">
        <v>72</v>
      </c>
      <c r="J582">
        <v>67</v>
      </c>
      <c r="K582">
        <v>70</v>
      </c>
      <c r="L582">
        <v>60</v>
      </c>
      <c r="M582">
        <v>83</v>
      </c>
      <c r="N582">
        <f>SUM(Table1[[#This Row],[Math_Marks]:[Social_Marks]])</f>
        <v>352</v>
      </c>
      <c r="O582">
        <f>AVERAGE(Table1[[#This Row],[Math_Marks]:[Social_Marks]])</f>
        <v>70.400000000000006</v>
      </c>
      <c r="P582" t="str">
        <f>IF(Table1[[#This Row],[Total_Marks]]&gt;=400,"Top Performer","Need Improvement")</f>
        <v>Need Improvement</v>
      </c>
      <c r="Q582" t="str">
        <f>IF(Table1[[#This Row],[Total_Marks]]&gt;=400,"Excellent",IF(Table1[[#This Row],[Total_Marks]]&gt;=300,"Good",IF(Table1[[#This Row],[Total_Marks]]&gt;=200,"Average","Below Average")))</f>
        <v>Good</v>
      </c>
    </row>
    <row r="583" spans="1:17" x14ac:dyDescent="0.3">
      <c r="A583" t="s">
        <v>594</v>
      </c>
      <c r="B583" t="s">
        <v>682</v>
      </c>
      <c r="C583" t="s">
        <v>828</v>
      </c>
      <c r="D583">
        <v>19</v>
      </c>
      <c r="E583" t="s">
        <v>832</v>
      </c>
      <c r="F583" t="s">
        <v>842</v>
      </c>
      <c r="G583">
        <v>89</v>
      </c>
      <c r="H583">
        <v>4.9000000000000004</v>
      </c>
      <c r="I583">
        <v>71</v>
      </c>
      <c r="J583">
        <v>87</v>
      </c>
      <c r="K583">
        <v>93</v>
      </c>
      <c r="L583">
        <v>76</v>
      </c>
      <c r="M583">
        <v>78</v>
      </c>
      <c r="N583">
        <f>SUM(Table1[[#This Row],[Math_Marks]:[Social_Marks]])</f>
        <v>405</v>
      </c>
      <c r="O583">
        <f>AVERAGE(Table1[[#This Row],[Math_Marks]:[Social_Marks]])</f>
        <v>81</v>
      </c>
      <c r="P583" t="str">
        <f>IF(Table1[[#This Row],[Total_Marks]]&gt;=400,"Top Performer","Need Improvement")</f>
        <v>Top Performer</v>
      </c>
      <c r="Q583" t="str">
        <f>IF(Table1[[#This Row],[Total_Marks]]&gt;=400,"Excellent",IF(Table1[[#This Row],[Total_Marks]]&gt;=300,"Good",IF(Table1[[#This Row],[Total_Marks]]&gt;=200,"Average","Below Average")))</f>
        <v>Excellent</v>
      </c>
    </row>
    <row r="584" spans="1:17" x14ac:dyDescent="0.3">
      <c r="A584" t="s">
        <v>595</v>
      </c>
      <c r="B584" t="s">
        <v>692</v>
      </c>
      <c r="C584" t="s">
        <v>827</v>
      </c>
      <c r="D584">
        <v>20</v>
      </c>
      <c r="E584" t="s">
        <v>832</v>
      </c>
      <c r="F584" t="s">
        <v>840</v>
      </c>
      <c r="G584">
        <v>72</v>
      </c>
      <c r="H584">
        <v>2.4</v>
      </c>
      <c r="I584">
        <v>73</v>
      </c>
      <c r="J584">
        <v>85</v>
      </c>
      <c r="K584">
        <v>64</v>
      </c>
      <c r="L584">
        <v>69</v>
      </c>
      <c r="M584">
        <v>62</v>
      </c>
      <c r="N584">
        <f>SUM(Table1[[#This Row],[Math_Marks]:[Social_Marks]])</f>
        <v>353</v>
      </c>
      <c r="O584">
        <f>AVERAGE(Table1[[#This Row],[Math_Marks]:[Social_Marks]])</f>
        <v>70.599999999999994</v>
      </c>
      <c r="P584" t="str">
        <f>IF(Table1[[#This Row],[Total_Marks]]&gt;=400,"Top Performer","Need Improvement")</f>
        <v>Need Improvement</v>
      </c>
      <c r="Q584" t="str">
        <f>IF(Table1[[#This Row],[Total_Marks]]&gt;=400,"Excellent",IF(Table1[[#This Row],[Total_Marks]]&gt;=300,"Good",IF(Table1[[#This Row],[Total_Marks]]&gt;=200,"Average","Below Average")))</f>
        <v>Good</v>
      </c>
    </row>
    <row r="585" spans="1:17" x14ac:dyDescent="0.3">
      <c r="A585" t="s">
        <v>596</v>
      </c>
      <c r="B585" t="s">
        <v>769</v>
      </c>
      <c r="C585" t="s">
        <v>827</v>
      </c>
      <c r="D585">
        <v>18</v>
      </c>
      <c r="E585" t="s">
        <v>832</v>
      </c>
      <c r="F585" t="s">
        <v>840</v>
      </c>
      <c r="G585">
        <v>84</v>
      </c>
      <c r="H585">
        <v>3.7</v>
      </c>
      <c r="I585">
        <v>54</v>
      </c>
      <c r="J585">
        <v>67</v>
      </c>
      <c r="K585">
        <v>52</v>
      </c>
      <c r="L585">
        <v>66</v>
      </c>
      <c r="M585">
        <v>78</v>
      </c>
      <c r="N585">
        <f>SUM(Table1[[#This Row],[Math_Marks]:[Social_Marks]])</f>
        <v>317</v>
      </c>
      <c r="O585">
        <f>AVERAGE(Table1[[#This Row],[Math_Marks]:[Social_Marks]])</f>
        <v>63.4</v>
      </c>
      <c r="P585" t="str">
        <f>IF(Table1[[#This Row],[Total_Marks]]&gt;=400,"Top Performer","Need Improvement")</f>
        <v>Need Improvement</v>
      </c>
      <c r="Q585" t="str">
        <f>IF(Table1[[#This Row],[Total_Marks]]&gt;=400,"Excellent",IF(Table1[[#This Row],[Total_Marks]]&gt;=300,"Good",IF(Table1[[#This Row],[Total_Marks]]&gt;=200,"Average","Below Average")))</f>
        <v>Good</v>
      </c>
    </row>
    <row r="586" spans="1:17" x14ac:dyDescent="0.3">
      <c r="A586" t="s">
        <v>597</v>
      </c>
      <c r="B586" t="s">
        <v>820</v>
      </c>
      <c r="C586" t="s">
        <v>827</v>
      </c>
      <c r="D586">
        <v>22</v>
      </c>
      <c r="E586" t="s">
        <v>831</v>
      </c>
      <c r="F586" t="s">
        <v>838</v>
      </c>
      <c r="G586">
        <v>85</v>
      </c>
      <c r="H586">
        <v>3.7</v>
      </c>
      <c r="I586">
        <v>58</v>
      </c>
      <c r="J586">
        <v>55</v>
      </c>
      <c r="K586">
        <v>70</v>
      </c>
      <c r="L586">
        <v>53</v>
      </c>
      <c r="M586">
        <v>64</v>
      </c>
      <c r="N586">
        <f>SUM(Table1[[#This Row],[Math_Marks]:[Social_Marks]])</f>
        <v>300</v>
      </c>
      <c r="O586">
        <f>AVERAGE(Table1[[#This Row],[Math_Marks]:[Social_Marks]])</f>
        <v>60</v>
      </c>
      <c r="P586" t="str">
        <f>IF(Table1[[#This Row],[Total_Marks]]&gt;=400,"Top Performer","Need Improvement")</f>
        <v>Need Improvement</v>
      </c>
      <c r="Q586" t="str">
        <f>IF(Table1[[#This Row],[Total_Marks]]&gt;=400,"Excellent",IF(Table1[[#This Row],[Total_Marks]]&gt;=300,"Good",IF(Table1[[#This Row],[Total_Marks]]&gt;=200,"Average","Below Average")))</f>
        <v>Good</v>
      </c>
    </row>
    <row r="587" spans="1:17" x14ac:dyDescent="0.3">
      <c r="A587" t="s">
        <v>598</v>
      </c>
      <c r="B587" t="s">
        <v>654</v>
      </c>
      <c r="C587" t="s">
        <v>827</v>
      </c>
      <c r="D587">
        <v>20</v>
      </c>
      <c r="E587" t="s">
        <v>831</v>
      </c>
      <c r="F587" t="s">
        <v>839</v>
      </c>
      <c r="G587">
        <v>91</v>
      </c>
      <c r="H587">
        <v>2.4</v>
      </c>
      <c r="I587">
        <v>50</v>
      </c>
      <c r="J587">
        <v>59</v>
      </c>
      <c r="K587">
        <v>67</v>
      </c>
      <c r="L587">
        <v>57</v>
      </c>
      <c r="M587">
        <v>59</v>
      </c>
      <c r="N587">
        <f>SUM(Table1[[#This Row],[Math_Marks]:[Social_Marks]])</f>
        <v>292</v>
      </c>
      <c r="O587">
        <f>AVERAGE(Table1[[#This Row],[Math_Marks]:[Social_Marks]])</f>
        <v>58.4</v>
      </c>
      <c r="P587" t="str">
        <f>IF(Table1[[#This Row],[Total_Marks]]&gt;=400,"Top Performer","Need Improvement")</f>
        <v>Need Improvement</v>
      </c>
      <c r="Q587" t="str">
        <f>IF(Table1[[#This Row],[Total_Marks]]&gt;=400,"Excellent",IF(Table1[[#This Row],[Total_Marks]]&gt;=300,"Good",IF(Table1[[#This Row],[Total_Marks]]&gt;=200,"Average","Below Average")))</f>
        <v>Average</v>
      </c>
    </row>
    <row r="588" spans="1:17" x14ac:dyDescent="0.3">
      <c r="A588" t="s">
        <v>599</v>
      </c>
      <c r="B588" t="s">
        <v>735</v>
      </c>
      <c r="C588" t="s">
        <v>827</v>
      </c>
      <c r="D588">
        <v>19</v>
      </c>
      <c r="E588" t="s">
        <v>829</v>
      </c>
      <c r="F588" t="s">
        <v>841</v>
      </c>
      <c r="G588">
        <v>90</v>
      </c>
      <c r="H588">
        <v>3.9</v>
      </c>
      <c r="I588">
        <v>57</v>
      </c>
      <c r="J588">
        <v>47</v>
      </c>
      <c r="K588">
        <v>51</v>
      </c>
      <c r="L588">
        <v>70</v>
      </c>
      <c r="M588">
        <v>58</v>
      </c>
      <c r="N588">
        <f>SUM(Table1[[#This Row],[Math_Marks]:[Social_Marks]])</f>
        <v>283</v>
      </c>
      <c r="O588">
        <f>AVERAGE(Table1[[#This Row],[Math_Marks]:[Social_Marks]])</f>
        <v>56.6</v>
      </c>
      <c r="P588" t="str">
        <f>IF(Table1[[#This Row],[Total_Marks]]&gt;=400,"Top Performer","Need Improvement")</f>
        <v>Need Improvement</v>
      </c>
      <c r="Q588" t="str">
        <f>IF(Table1[[#This Row],[Total_Marks]]&gt;=400,"Excellent",IF(Table1[[#This Row],[Total_Marks]]&gt;=300,"Good",IF(Table1[[#This Row],[Total_Marks]]&gt;=200,"Average","Below Average")))</f>
        <v>Average</v>
      </c>
    </row>
    <row r="589" spans="1:17" x14ac:dyDescent="0.3">
      <c r="A589" t="s">
        <v>600</v>
      </c>
      <c r="B589" t="s">
        <v>715</v>
      </c>
      <c r="C589" t="s">
        <v>827</v>
      </c>
      <c r="D589">
        <v>20</v>
      </c>
      <c r="E589" t="s">
        <v>832</v>
      </c>
      <c r="F589" t="s">
        <v>838</v>
      </c>
      <c r="G589">
        <v>87</v>
      </c>
      <c r="H589">
        <v>1</v>
      </c>
      <c r="I589">
        <v>55</v>
      </c>
      <c r="J589">
        <v>67</v>
      </c>
      <c r="K589">
        <v>63</v>
      </c>
      <c r="L589">
        <v>47</v>
      </c>
      <c r="M589">
        <v>66</v>
      </c>
      <c r="N589">
        <f>SUM(Table1[[#This Row],[Math_Marks]:[Social_Marks]])</f>
        <v>298</v>
      </c>
      <c r="O589">
        <f>AVERAGE(Table1[[#This Row],[Math_Marks]:[Social_Marks]])</f>
        <v>59.6</v>
      </c>
      <c r="P589" t="str">
        <f>IF(Table1[[#This Row],[Total_Marks]]&gt;=400,"Top Performer","Need Improvement")</f>
        <v>Need Improvement</v>
      </c>
      <c r="Q589" t="str">
        <f>IF(Table1[[#This Row],[Total_Marks]]&gt;=400,"Excellent",IF(Table1[[#This Row],[Total_Marks]]&gt;=300,"Good",IF(Table1[[#This Row],[Total_Marks]]&gt;=200,"Average","Below Average")))</f>
        <v>Average</v>
      </c>
    </row>
    <row r="590" spans="1:17" x14ac:dyDescent="0.3">
      <c r="A590" t="s">
        <v>601</v>
      </c>
      <c r="B590" t="s">
        <v>716</v>
      </c>
      <c r="C590" t="s">
        <v>828</v>
      </c>
      <c r="D590">
        <v>18</v>
      </c>
      <c r="E590" t="s">
        <v>833</v>
      </c>
      <c r="F590" t="s">
        <v>839</v>
      </c>
      <c r="G590">
        <v>80</v>
      </c>
      <c r="H590">
        <v>6.1</v>
      </c>
      <c r="I590">
        <v>77</v>
      </c>
      <c r="J590">
        <v>83</v>
      </c>
      <c r="K590">
        <v>84</v>
      </c>
      <c r="L590">
        <v>82</v>
      </c>
      <c r="M590">
        <v>87</v>
      </c>
      <c r="N590">
        <f>SUM(Table1[[#This Row],[Math_Marks]:[Social_Marks]])</f>
        <v>413</v>
      </c>
      <c r="O590">
        <f>AVERAGE(Table1[[#This Row],[Math_Marks]:[Social_Marks]])</f>
        <v>82.6</v>
      </c>
      <c r="P590" t="str">
        <f>IF(Table1[[#This Row],[Total_Marks]]&gt;=400,"Top Performer","Need Improvement")</f>
        <v>Top Performer</v>
      </c>
      <c r="Q590" t="str">
        <f>IF(Table1[[#This Row],[Total_Marks]]&gt;=400,"Excellent",IF(Table1[[#This Row],[Total_Marks]]&gt;=300,"Good",IF(Table1[[#This Row],[Total_Marks]]&gt;=200,"Average","Below Average")))</f>
        <v>Excellent</v>
      </c>
    </row>
    <row r="591" spans="1:17" x14ac:dyDescent="0.3">
      <c r="A591" t="s">
        <v>602</v>
      </c>
      <c r="B591" t="s">
        <v>801</v>
      </c>
      <c r="C591" t="s">
        <v>828</v>
      </c>
      <c r="D591">
        <v>20</v>
      </c>
      <c r="E591" t="s">
        <v>833</v>
      </c>
      <c r="F591" t="s">
        <v>837</v>
      </c>
      <c r="G591">
        <v>81</v>
      </c>
      <c r="H591">
        <v>3.8</v>
      </c>
      <c r="I591">
        <v>89</v>
      </c>
      <c r="J591">
        <v>76</v>
      </c>
      <c r="K591">
        <v>72</v>
      </c>
      <c r="L591">
        <v>88</v>
      </c>
      <c r="M591">
        <v>82</v>
      </c>
      <c r="N591">
        <f>SUM(Table1[[#This Row],[Math_Marks]:[Social_Marks]])</f>
        <v>407</v>
      </c>
      <c r="O591">
        <f>AVERAGE(Table1[[#This Row],[Math_Marks]:[Social_Marks]])</f>
        <v>81.400000000000006</v>
      </c>
      <c r="P591" t="str">
        <f>IF(Table1[[#This Row],[Total_Marks]]&gt;=400,"Top Performer","Need Improvement")</f>
        <v>Top Performer</v>
      </c>
      <c r="Q591" t="str">
        <f>IF(Table1[[#This Row],[Total_Marks]]&gt;=400,"Excellent",IF(Table1[[#This Row],[Total_Marks]]&gt;=300,"Good",IF(Table1[[#This Row],[Total_Marks]]&gt;=200,"Average","Below Average")))</f>
        <v>Excellent</v>
      </c>
    </row>
    <row r="592" spans="1:17" x14ac:dyDescent="0.3">
      <c r="A592" t="s">
        <v>603</v>
      </c>
      <c r="B592" t="s">
        <v>826</v>
      </c>
      <c r="C592" t="s">
        <v>827</v>
      </c>
      <c r="D592">
        <v>19</v>
      </c>
      <c r="E592" t="s">
        <v>834</v>
      </c>
      <c r="F592" t="s">
        <v>842</v>
      </c>
      <c r="G592">
        <v>81</v>
      </c>
      <c r="H592">
        <v>2.8</v>
      </c>
      <c r="I592">
        <v>63</v>
      </c>
      <c r="J592">
        <v>58</v>
      </c>
      <c r="K592">
        <v>68</v>
      </c>
      <c r="L592">
        <v>71</v>
      </c>
      <c r="M592">
        <v>69</v>
      </c>
      <c r="N592">
        <f>SUM(Table1[[#This Row],[Math_Marks]:[Social_Marks]])</f>
        <v>329</v>
      </c>
      <c r="O592">
        <f>AVERAGE(Table1[[#This Row],[Math_Marks]:[Social_Marks]])</f>
        <v>65.8</v>
      </c>
      <c r="P592" t="str">
        <f>IF(Table1[[#This Row],[Total_Marks]]&gt;=400,"Top Performer","Need Improvement")</f>
        <v>Need Improvement</v>
      </c>
      <c r="Q592" t="str">
        <f>IF(Table1[[#This Row],[Total_Marks]]&gt;=400,"Excellent",IF(Table1[[#This Row],[Total_Marks]]&gt;=300,"Good",IF(Table1[[#This Row],[Total_Marks]]&gt;=200,"Average","Below Average")))</f>
        <v>Good</v>
      </c>
    </row>
    <row r="593" spans="1:17" x14ac:dyDescent="0.3">
      <c r="A593" t="s">
        <v>604</v>
      </c>
      <c r="B593" t="s">
        <v>729</v>
      </c>
      <c r="C593" t="s">
        <v>828</v>
      </c>
      <c r="D593">
        <v>21</v>
      </c>
      <c r="E593" t="s">
        <v>833</v>
      </c>
      <c r="F593" t="s">
        <v>840</v>
      </c>
      <c r="G593">
        <v>70</v>
      </c>
      <c r="H593">
        <v>4.8</v>
      </c>
      <c r="I593">
        <v>87</v>
      </c>
      <c r="J593">
        <v>78</v>
      </c>
      <c r="K593">
        <v>72</v>
      </c>
      <c r="L593">
        <v>69</v>
      </c>
      <c r="M593">
        <v>68</v>
      </c>
      <c r="N593">
        <f>SUM(Table1[[#This Row],[Math_Marks]:[Social_Marks]])</f>
        <v>374</v>
      </c>
      <c r="O593">
        <f>AVERAGE(Table1[[#This Row],[Math_Marks]:[Social_Marks]])</f>
        <v>74.8</v>
      </c>
      <c r="P593" t="str">
        <f>IF(Table1[[#This Row],[Total_Marks]]&gt;=400,"Top Performer","Need Improvement")</f>
        <v>Need Improvement</v>
      </c>
      <c r="Q593" t="str">
        <f>IF(Table1[[#This Row],[Total_Marks]]&gt;=400,"Excellent",IF(Table1[[#This Row],[Total_Marks]]&gt;=300,"Good",IF(Table1[[#This Row],[Total_Marks]]&gt;=200,"Average","Below Average")))</f>
        <v>Good</v>
      </c>
    </row>
    <row r="594" spans="1:17" x14ac:dyDescent="0.3">
      <c r="A594" t="s">
        <v>605</v>
      </c>
      <c r="B594" t="s">
        <v>638</v>
      </c>
      <c r="C594" t="s">
        <v>828</v>
      </c>
      <c r="D594">
        <v>21</v>
      </c>
      <c r="E594" t="s">
        <v>832</v>
      </c>
      <c r="F594" t="s">
        <v>842</v>
      </c>
      <c r="G594">
        <v>81</v>
      </c>
      <c r="H594">
        <v>1</v>
      </c>
      <c r="I594">
        <v>47</v>
      </c>
      <c r="J594">
        <v>47</v>
      </c>
      <c r="K594">
        <v>44</v>
      </c>
      <c r="L594">
        <v>46</v>
      </c>
      <c r="M594">
        <v>63</v>
      </c>
      <c r="N594">
        <f>SUM(Table1[[#This Row],[Math_Marks]:[Social_Marks]])</f>
        <v>247</v>
      </c>
      <c r="O594">
        <f>AVERAGE(Table1[[#This Row],[Math_Marks]:[Social_Marks]])</f>
        <v>49.4</v>
      </c>
      <c r="P594" t="str">
        <f>IF(Table1[[#This Row],[Total_Marks]]&gt;=400,"Top Performer","Need Improvement")</f>
        <v>Need Improvement</v>
      </c>
      <c r="Q594" t="str">
        <f>IF(Table1[[#This Row],[Total_Marks]]&gt;=400,"Excellent",IF(Table1[[#This Row],[Total_Marks]]&gt;=300,"Good",IF(Table1[[#This Row],[Total_Marks]]&gt;=200,"Average","Below Average")))</f>
        <v>Average</v>
      </c>
    </row>
    <row r="595" spans="1:17" x14ac:dyDescent="0.3">
      <c r="A595" t="s">
        <v>606</v>
      </c>
      <c r="B595" t="s">
        <v>730</v>
      </c>
      <c r="C595" t="s">
        <v>828</v>
      </c>
      <c r="D595">
        <v>19</v>
      </c>
      <c r="E595" t="s">
        <v>830</v>
      </c>
      <c r="F595" t="s">
        <v>841</v>
      </c>
      <c r="G595">
        <v>81</v>
      </c>
      <c r="H595">
        <v>2.6</v>
      </c>
      <c r="I595">
        <v>62</v>
      </c>
      <c r="J595">
        <v>50</v>
      </c>
      <c r="K595">
        <v>45</v>
      </c>
      <c r="L595">
        <v>53</v>
      </c>
      <c r="M595">
        <v>55</v>
      </c>
      <c r="N595">
        <f>SUM(Table1[[#This Row],[Math_Marks]:[Social_Marks]])</f>
        <v>265</v>
      </c>
      <c r="O595">
        <f>AVERAGE(Table1[[#This Row],[Math_Marks]:[Social_Marks]])</f>
        <v>53</v>
      </c>
      <c r="P595" t="str">
        <f>IF(Table1[[#This Row],[Total_Marks]]&gt;=400,"Top Performer","Need Improvement")</f>
        <v>Need Improvement</v>
      </c>
      <c r="Q595" t="str">
        <f>IF(Table1[[#This Row],[Total_Marks]]&gt;=400,"Excellent",IF(Table1[[#This Row],[Total_Marks]]&gt;=300,"Good",IF(Table1[[#This Row],[Total_Marks]]&gt;=200,"Average","Below Average")))</f>
        <v>Average</v>
      </c>
    </row>
    <row r="596" spans="1:17" x14ac:dyDescent="0.3">
      <c r="A596" t="s">
        <v>607</v>
      </c>
      <c r="B596" t="s">
        <v>818</v>
      </c>
      <c r="C596" t="s">
        <v>828</v>
      </c>
      <c r="D596">
        <v>21</v>
      </c>
      <c r="E596" t="s">
        <v>832</v>
      </c>
      <c r="F596" t="s">
        <v>837</v>
      </c>
      <c r="G596">
        <v>86</v>
      </c>
      <c r="H596">
        <v>7.1</v>
      </c>
      <c r="I596">
        <v>98</v>
      </c>
      <c r="J596">
        <v>98</v>
      </c>
      <c r="K596">
        <v>93</v>
      </c>
      <c r="L596">
        <v>88</v>
      </c>
      <c r="M596">
        <v>95</v>
      </c>
      <c r="N596">
        <f>SUM(Table1[[#This Row],[Math_Marks]:[Social_Marks]])</f>
        <v>472</v>
      </c>
      <c r="O596">
        <f>AVERAGE(Table1[[#This Row],[Math_Marks]:[Social_Marks]])</f>
        <v>94.4</v>
      </c>
      <c r="P596" t="str">
        <f>IF(Table1[[#This Row],[Total_Marks]]&gt;=400,"Top Performer","Need Improvement")</f>
        <v>Top Performer</v>
      </c>
      <c r="Q596" t="str">
        <f>IF(Table1[[#This Row],[Total_Marks]]&gt;=400,"Excellent",IF(Table1[[#This Row],[Total_Marks]]&gt;=300,"Good",IF(Table1[[#This Row],[Total_Marks]]&gt;=200,"Average","Below Average")))</f>
        <v>Excellent</v>
      </c>
    </row>
    <row r="597" spans="1:17" x14ac:dyDescent="0.3">
      <c r="A597" t="s">
        <v>608</v>
      </c>
      <c r="B597" t="s">
        <v>675</v>
      </c>
      <c r="C597" t="s">
        <v>828</v>
      </c>
      <c r="D597">
        <v>19</v>
      </c>
      <c r="E597" t="s">
        <v>833</v>
      </c>
      <c r="F597" t="s">
        <v>839</v>
      </c>
      <c r="G597">
        <v>85</v>
      </c>
      <c r="H597">
        <v>2.8</v>
      </c>
      <c r="I597">
        <v>59</v>
      </c>
      <c r="J597">
        <v>55</v>
      </c>
      <c r="K597">
        <v>41</v>
      </c>
      <c r="L597">
        <v>44</v>
      </c>
      <c r="M597">
        <v>47</v>
      </c>
      <c r="N597">
        <f>SUM(Table1[[#This Row],[Math_Marks]:[Social_Marks]])</f>
        <v>246</v>
      </c>
      <c r="O597">
        <f>AVERAGE(Table1[[#This Row],[Math_Marks]:[Social_Marks]])</f>
        <v>49.2</v>
      </c>
      <c r="P597" t="str">
        <f>IF(Table1[[#This Row],[Total_Marks]]&gt;=400,"Top Performer","Need Improvement")</f>
        <v>Need Improvement</v>
      </c>
      <c r="Q597" t="str">
        <f>IF(Table1[[#This Row],[Total_Marks]]&gt;=400,"Excellent",IF(Table1[[#This Row],[Total_Marks]]&gt;=300,"Good",IF(Table1[[#This Row],[Total_Marks]]&gt;=200,"Average","Below Average")))</f>
        <v>Average</v>
      </c>
    </row>
    <row r="598" spans="1:17" x14ac:dyDescent="0.3">
      <c r="A598" t="s">
        <v>609</v>
      </c>
      <c r="B598" t="s">
        <v>616</v>
      </c>
      <c r="C598" t="s">
        <v>827</v>
      </c>
      <c r="D598">
        <v>22</v>
      </c>
      <c r="E598" t="s">
        <v>831</v>
      </c>
      <c r="F598" t="s">
        <v>840</v>
      </c>
      <c r="G598">
        <v>91</v>
      </c>
      <c r="H598">
        <v>4.9000000000000004</v>
      </c>
      <c r="I598">
        <v>83</v>
      </c>
      <c r="J598">
        <v>80</v>
      </c>
      <c r="K598">
        <v>87</v>
      </c>
      <c r="L598">
        <v>85</v>
      </c>
      <c r="M598">
        <v>81</v>
      </c>
      <c r="N598">
        <f>SUM(Table1[[#This Row],[Math_Marks]:[Social_Marks]])</f>
        <v>416</v>
      </c>
      <c r="O598">
        <f>AVERAGE(Table1[[#This Row],[Math_Marks]:[Social_Marks]])</f>
        <v>83.2</v>
      </c>
      <c r="P598" t="str">
        <f>IF(Table1[[#This Row],[Total_Marks]]&gt;=400,"Top Performer","Need Improvement")</f>
        <v>Top Performer</v>
      </c>
      <c r="Q598" t="str">
        <f>IF(Table1[[#This Row],[Total_Marks]]&gt;=400,"Excellent",IF(Table1[[#This Row],[Total_Marks]]&gt;=300,"Good",IF(Table1[[#This Row],[Total_Marks]]&gt;=200,"Average","Below Average")))</f>
        <v>Excellent</v>
      </c>
    </row>
    <row r="599" spans="1:17" x14ac:dyDescent="0.3">
      <c r="A599" t="s">
        <v>610</v>
      </c>
      <c r="B599" t="s">
        <v>674</v>
      </c>
      <c r="C599" t="s">
        <v>828</v>
      </c>
      <c r="D599">
        <v>20</v>
      </c>
      <c r="E599" t="s">
        <v>833</v>
      </c>
      <c r="F599" t="s">
        <v>837</v>
      </c>
      <c r="G599">
        <v>79</v>
      </c>
      <c r="H599">
        <v>5.5</v>
      </c>
      <c r="I599">
        <v>70</v>
      </c>
      <c r="J599">
        <v>93</v>
      </c>
      <c r="K599">
        <v>72</v>
      </c>
      <c r="L599">
        <v>72</v>
      </c>
      <c r="M599">
        <v>80</v>
      </c>
      <c r="N599">
        <f>SUM(Table1[[#This Row],[Math_Marks]:[Social_Marks]])</f>
        <v>387</v>
      </c>
      <c r="O599">
        <f>AVERAGE(Table1[[#This Row],[Math_Marks]:[Social_Marks]])</f>
        <v>77.400000000000006</v>
      </c>
      <c r="P599" t="str">
        <f>IF(Table1[[#This Row],[Total_Marks]]&gt;=400,"Top Performer","Need Improvement")</f>
        <v>Need Improvement</v>
      </c>
      <c r="Q599" t="str">
        <f>IF(Table1[[#This Row],[Total_Marks]]&gt;=400,"Excellent",IF(Table1[[#This Row],[Total_Marks]]&gt;=300,"Good",IF(Table1[[#This Row],[Total_Marks]]&gt;=200,"Average","Below Average")))</f>
        <v>Good</v>
      </c>
    </row>
    <row r="600" spans="1:17" x14ac:dyDescent="0.3">
      <c r="A600" t="s">
        <v>611</v>
      </c>
      <c r="B600" t="s">
        <v>764</v>
      </c>
      <c r="C600" t="s">
        <v>827</v>
      </c>
      <c r="D600">
        <v>20</v>
      </c>
      <c r="E600" t="s">
        <v>830</v>
      </c>
      <c r="F600" t="s">
        <v>836</v>
      </c>
      <c r="G600">
        <v>88</v>
      </c>
      <c r="H600">
        <v>5.4</v>
      </c>
      <c r="I600">
        <v>69</v>
      </c>
      <c r="J600">
        <v>69</v>
      </c>
      <c r="K600">
        <v>82</v>
      </c>
      <c r="L600">
        <v>46</v>
      </c>
      <c r="M600">
        <v>61</v>
      </c>
      <c r="N600">
        <f>SUM(Table1[[#This Row],[Math_Marks]:[Social_Marks]])</f>
        <v>327</v>
      </c>
      <c r="O600">
        <f>AVERAGE(Table1[[#This Row],[Math_Marks]:[Social_Marks]])</f>
        <v>65.400000000000006</v>
      </c>
      <c r="P600" t="str">
        <f>IF(Table1[[#This Row],[Total_Marks]]&gt;=400,"Top Performer","Need Improvement")</f>
        <v>Need Improvement</v>
      </c>
      <c r="Q600" t="str">
        <f>IF(Table1[[#This Row],[Total_Marks]]&gt;=400,"Excellent",IF(Table1[[#This Row],[Total_Marks]]&gt;=300,"Good",IF(Table1[[#This Row],[Total_Marks]]&gt;=200,"Average","Below Average")))</f>
        <v>Good</v>
      </c>
    </row>
    <row r="601" spans="1:17" x14ac:dyDescent="0.3">
      <c r="A601" t="s">
        <v>612</v>
      </c>
      <c r="B601" t="s">
        <v>773</v>
      </c>
      <c r="C601" t="s">
        <v>828</v>
      </c>
      <c r="D601">
        <v>22</v>
      </c>
      <c r="E601" t="s">
        <v>829</v>
      </c>
      <c r="F601" t="s">
        <v>839</v>
      </c>
      <c r="G601">
        <v>80</v>
      </c>
      <c r="H601">
        <v>2.8</v>
      </c>
      <c r="I601">
        <v>65</v>
      </c>
      <c r="J601">
        <v>58</v>
      </c>
      <c r="K601">
        <v>57</v>
      </c>
      <c r="L601">
        <v>59</v>
      </c>
      <c r="M601">
        <v>60</v>
      </c>
      <c r="N601">
        <f>SUM(Table1[[#This Row],[Math_Marks]:[Social_Marks]])</f>
        <v>299</v>
      </c>
      <c r="O601">
        <f>AVERAGE(Table1[[#This Row],[Math_Marks]:[Social_Marks]])</f>
        <v>59.8</v>
      </c>
      <c r="P601" t="str">
        <f>IF(Table1[[#This Row],[Total_Marks]]&gt;=400,"Top Performer","Need Improvement")</f>
        <v>Need Improvement</v>
      </c>
      <c r="Q601" t="str">
        <f>IF(Table1[[#This Row],[Total_Marks]]&gt;=400,"Excellent",IF(Table1[[#This Row],[Total_Marks]]&gt;=300,"Good",IF(Table1[[#This Row],[Total_Marks]]&gt;=200,"Average","Below Average")))</f>
        <v>Average</v>
      </c>
    </row>
  </sheetData>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PivotTable1</vt:lpstr>
      <vt:lpstr>Sheet4</vt:lpstr>
      <vt:lpstr>Sheet1</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Jayasree Nandakumar</cp:lastModifiedBy>
  <dcterms:created xsi:type="dcterms:W3CDTF">2026-09-15T13:26:30Z</dcterms:created>
  <dcterms:modified xsi:type="dcterms:W3CDTF">2026-09-18T13:57:44Z</dcterms:modified>
</cp:coreProperties>
</file>