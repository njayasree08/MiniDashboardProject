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adf258902619d1e/Attachments/Downloads/"/>
    </mc:Choice>
  </mc:AlternateContent>
  <xr:revisionPtr revIDLastSave="3656" documentId="13_ncr:1_{C983878C-DAA8-4E4C-AFF1-2188056622BB}" xr6:coauthVersionLast="47" xr6:coauthVersionMax="47" xr10:uidLastSave="{7135F75D-7A8E-405D-A23E-BFA280716CEC}"/>
  <bookViews>
    <workbookView xWindow="-108" yWindow="-108" windowWidth="23256" windowHeight="13896" firstSheet="1" activeTab="8" xr2:uid="{26D4546B-D2A1-4444-8EAF-A6228F96F0C1}"/>
  </bookViews>
  <sheets>
    <sheet name="Sheet2" sheetId="6" r:id="rId1"/>
    <sheet name="Sheet5" sheetId="9" r:id="rId2"/>
    <sheet name="Dashboard" sheetId="10" r:id="rId3"/>
    <sheet name="Sheet9" sheetId="13" r:id="rId4"/>
    <sheet name="Sheet11" sheetId="15" r:id="rId5"/>
    <sheet name="Sheet17" sheetId="21" r:id="rId6"/>
    <sheet name="Sheet19" sheetId="23" r:id="rId7"/>
    <sheet name="Sheet21" sheetId="25" r:id="rId8"/>
    <sheet name="Data" sheetId="2" r:id="rId9"/>
  </sheets>
  <definedNames>
    <definedName name="_xlnm._FilterDatabase" localSheetId="8" hidden="1">Data!$B$3:$H$1003</definedName>
    <definedName name="_xlcn.WorksheetConnection_data.xlsxcalls1" hidden="1">calls[]</definedName>
    <definedName name="_xlcn.WorksheetConnection_data.xlsxcustomers1" hidden="1">customers[]</definedName>
    <definedName name="Slicer_Representative">#N/A</definedName>
  </definedNames>
  <calcPr calcId="191029"/>
  <pivotCaches>
    <pivotCache cacheId="1" r:id="rId10"/>
    <pivotCache cacheId="2" r:id="rId11"/>
    <pivotCache cacheId="4"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data.xlsx!customers"/>
          <x15:modelTable id="calls" name="calls" connection="WorksheetConnection_data.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5" l="1"/>
  <c r="I8" i="1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7" i="15" l="1"/>
  <c r="H11" i="15"/>
  <c r="H10" i="15"/>
  <c r="H8" i="15"/>
  <c r="I11" i="15"/>
  <c r="H9" i="15"/>
  <c r="I7" i="15"/>
  <c r="I10" i="15"/>
  <c r="I9"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6B4D13-D282-4004-A965-7098461947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B8485E0-6A1E-4F9F-83FF-E7A318ADEC0E}" name="WorksheetConnection_data.xlsx!calls" type="102" refreshedVersion="8" minRefreshableVersion="5">
    <extLst>
      <ext xmlns:x15="http://schemas.microsoft.com/office/spreadsheetml/2010/11/main" uri="{DE250136-89BD-433C-8126-D09CA5730AF9}">
        <x15:connection id="calls" autoDelete="1">
          <x15:rangePr sourceName="_xlcn.WorksheetConnection_data.xlsxcalls1"/>
        </x15:connection>
      </ext>
    </extLst>
  </connection>
  <connection id="3" xr16:uid="{F189F767-38C6-467E-87F7-A83DE3D3318C}" name="WorksheetConnection_data.xlsx!customers" type="102" refreshedVersion="8" minRefreshableVersion="5">
    <extLst>
      <ext xmlns:x15="http://schemas.microsoft.com/office/spreadsheetml/2010/11/main" uri="{DE250136-89BD-433C-8126-D09CA5730AF9}">
        <x15:connection id="customers">
          <x15:rangePr sourceName="_xlcn.WorksheetConnection_data.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<sst xmlns="http://schemas.openxmlformats.org/spreadsheetml/2006/main" count="3207" uniqueCount="1085">
  <si>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</si>
  <si>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</si>
  <si>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</si>
  <si>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</si>
  <si>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</si>
  <si>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</si>
  <si>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</si>
  <si>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</si>
  <si>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</si>
  <si>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</si>
  <si>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</si>
  <si>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</si>
  <si>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</si>
  <si>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</si>
  <si>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</si>
  <si>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</si>
  <si>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</si>
  <si>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</si>
  <si>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</si>
  <si>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</si>
  <si>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</si>
  <si>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</si>
  <si>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</si>
  <si>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</si>
  <si>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</si>
  <si>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</si>
  <si>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</si>
  <si>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</si>
  <si>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</si>
  <si>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</si>
  <si>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</si>
  <si>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</si>
  <si>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</si>
  <si>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</si>
  <si>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</si>
  <si>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</si>
  <si>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</si>
  <si>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</si>
  <si>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</si>
  <si>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</si>
  <si>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</si>
  <si>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</si>
  <si>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</si>
  <si>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</si>
  <si>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</si>
  <si>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</si>
  <si>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</si>
  <si>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</si>
  <si>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</si>
  <si>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</si>
  <si>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</si>
  <si>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</si>
  <si>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</si>
  <si>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</si>
  <si>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</si>
  <si>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</si>
  <si>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</si>
  <si>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</si>
  <si>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</si>
  <si>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</si>
  <si>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</si>
  <si>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</si>
  <si>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</si>
  <si>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</si>
  <si>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</si>
  <si>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</si>
  <si>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</si>
  <si>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</si>
  <si>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</si>
  <si>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</si>
  <si>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</si>
  <si>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</si>
  <si>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</si>
  <si>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</si>
  <si>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</si>
  <si>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</si>
  <si>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</si>
  <si>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</si>
  <si>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</si>
  <si>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</si>
  <si>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</si>
  <si>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</si>
  <si>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</si>
  <si>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</si>
  <si>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</si>
  <si>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</si>
  <si>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</si>
  <si>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</si>
  <si>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</si>
  <si>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</si>
  <si>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</si>
  <si>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</si>
  <si>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</si>
  <si>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</si>
  <si>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</si>
  <si>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</si>
  <si>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</si>
  <si>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</si>
  <si>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</si>
  <si>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</si>
  <si>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</si>
  <si>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</si>
  <si>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</si>
  <si>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</si>
  <si>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</si>
  <si>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</si>
  <si>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</si>
  <si>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</si>
  <si>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</si>
  <si>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</si>
  <si>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</si>
  <si>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</si>
  <si>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</si>
  <si>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</si>
  <si>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</si>
  <si>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</si>
  <si>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</si>
  <si>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</si>
  <si>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</si>
  <si>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</si>
  <si>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</si>
  <si>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</si>
  <si>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</si>
  <si>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</si>
  <si>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</si>
  <si>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</si>
  <si>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</si>
  <si>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</si>
  <si>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</si>
  <si>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</si>
  <si>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</si>
  <si>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</si>
  <si>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</si>
  <si>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</si>
  <si>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</si>
  <si>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</si>
  <si>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</si>
  <si>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</si>
  <si>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</si>
  <si>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</si>
  <si>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</si>
  <si>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</si>
  <si>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</si>
  <si>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</si>
  <si>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</si>
  <si>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</si>
  <si>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</si>
  <si>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</si>
  <si>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</si>
  <si>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</si>
  <si>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</si>
  <si>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</si>
  <si>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</si>
  <si>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</si>
  <si>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</si>
  <si>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</si>
  <si>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</si>
  <si>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</si>
  <si>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</si>
  <si>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</si>
  <si>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</si>
  <si>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</si>
  <si>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</si>
  <si>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</si>
  <si>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</si>
  <si>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</si>
  <si>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</si>
  <si>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</si>
  <si>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</si>
  <si>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</si>
  <si>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</si>
  <si>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</si>
  <si>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</si>
  <si>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</si>
  <si>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</si>
  <si>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</si>
  <si>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</si>
  <si>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</si>
  <si>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</si>
  <si>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</si>
  <si>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</si>
  <si>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</si>
  <si>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</si>
  <si>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</si>
  <si>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</si>
  <si>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</si>
  <si>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</si>
  <si>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</si>
  <si>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</si>
  <si>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</si>
  <si>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</si>
  <si>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</si>
  <si>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</si>
  <si>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</si>
  <si>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</si>
  <si>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</si>
  <si>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</si>
  <si>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</si>
  <si>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</si>
  <si>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</si>
  <si>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</si>
  <si>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</si>
  <si>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</si>
  <si>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</si>
  <si>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</si>
  <si>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</si>
  <si>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</si>
  <si>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</si>
  <si>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</si>
  <si>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</si>
  <si>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</si>
  <si>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</si>
  <si>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</si>
  <si>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</si>
  <si>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</si>
  <si>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</si>
  <si>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</si>
  <si>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</si>
  <si>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</si>
  <si>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</si>
  <si>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</si>
  <si>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</si>
  <si>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</si>
  <si>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</si>
  <si>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</si>
  <si>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</si>
  <si>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</si>
  <si>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</si>
  <si>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</si>
  <si>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</si>
  <si>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</si>
  <si>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</si>
  <si>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</si>
  <si>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</si>
  <si>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</si>
  <si>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</si>
  <si>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</si>
  <si>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</si>
  <si>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</si>
  <si>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</si>
  <si>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</si>
  <si>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</si>
  <si>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</si>
  <si>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</si>
  <si>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</si>
  <si>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</si>
  <si>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</si>
  <si>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</si>
  <si>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</si>
  <si>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</si>
  <si>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</si>
  <si>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</si>
  <si>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</si>
  <si>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</si>
  <si>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</si>
  <si>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</si>
  <si>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</si>
  <si>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</si>
  <si>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</si>
  <si>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</si>
  <si>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</si>
  <si>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</si>
  <si>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</si>
  <si>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</si>
  <si>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</si>
  <si>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</si>
  <si>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</si>
  <si>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</si>
  <si>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</si>
  <si>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</si>
  <si>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</si>
  <si>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</si>
  <si>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</si>
  <si>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</si>
  <si>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</si>
  <si>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</si>
  <si>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</si>
  <si>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</si>
  <si>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</si>
  <si>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</si>
  <si>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</si>
  <si>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</si>
  <si>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</si>
  <si>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</si>
  <si>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</si>
  <si>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</si>
  <si>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</si>
  <si>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</si>
  <si>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</si>
  <si>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</si>
  <si>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</si>
  <si>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</si>
  <si>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</si>
  <si>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</si>
  <si>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</si>
  <si>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</si>
  <si>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</si>
  <si>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</si>
  <si>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</si>
  <si>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</si>
  <si>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</si>
  <si>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</si>
  <si>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</si>
  <si>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</si>
  <si>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</si>
  <si>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</si>
  <si>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</si>
  <si>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</si>
  <si>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</si>
  <si>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</si>
  <si>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</si>
  <si>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</si>
  <si>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</si>
  <si>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</si>
  <si>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</si>
  <si>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</si>
  <si>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</si>
  <si>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</si>
  <si>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</si>
  <si>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</si>
  <si>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</si>
  <si>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</si>
  <si>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</si>
  <si>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</si>
  <si>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</si>
  <si>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</si>
  <si>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</si>
  <si>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</si>
  <si>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</si>
  <si>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</si>
  <si>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</si>
  <si>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</si>
  <si>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</si>
  <si>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</si>
  <si>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</si>
  <si>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</si>
  <si>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</si>
  <si>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</si>
  <si>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</si>
  <si>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</si>
  <si>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</si>
  <si>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</si>
  <si>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</si>
  <si>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</si>
  <si>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</si>
  <si>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</si>
  <si>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</si>
  <si>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</si>
  <si>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</si>
  <si>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</si>
  <si>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</si>
  <si>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</si>
  <si>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</si>
  <si>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</si>
  <si>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</si>
  <si>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</si>
  <si>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</si>
  <si>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</si>
  <si>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</si>
  <si>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</si>
  <si>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</si>
  <si>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</si>
  <si>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</si>
  <si>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</si>
  <si>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</si>
  <si>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</si>
  <si>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</si>
  <si>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</si>
  <si>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</si>
  <si>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</si>
  <si>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</si>
  <si>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</si>
  <si>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</si>
  <si>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</si>
  <si>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</si>
  <si>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</si>
  <si>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</si>
  <si>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</si>
  <si>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</si>
  <si>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</si>
  <si>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</si>
  <si>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</si>
  <si>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</si>
  <si>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</si>
  <si>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</si>
  <si>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</si>
  <si>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</si>
  <si>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</si>
  <si>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</si>
  <si>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</si>
  <si>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</si>
  <si>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</si>
  <si>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</si>
  <si>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</si>
  <si>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</si>
  <si>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</si>
  <si>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</si>
  <si>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</si>
  <si>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</si>
  <si>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</si>
  <si>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</si>
  <si>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</si>
  <si>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</si>
  <si>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</si>
  <si>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</si>
  <si>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</si>
  <si>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</si>
  <si>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</si>
  <si>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</si>
  <si>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</si>
  <si>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</si>
  <si>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</si>
  <si>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</si>
  <si>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</si>
  <si>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</si>
  <si>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</si>
  <si>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</si>
  <si>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</si>
  <si>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</si>
  <si>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</si>
  <si>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</si>
  <si>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</si>
  <si>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</si>
  <si>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</si>
  <si>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</si>
  <si>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</si>
  <si>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</si>
  <si>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</si>
  <si>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</si>
  <si>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</si>
  <si>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</si>
  <si>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</si>
  <si>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</si>
  <si>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</si>
  <si>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</si>
  <si>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</si>
  <si>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</si>
  <si>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</si>
  <si>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</si>
  <si>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</si>
  <si>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</si>
  <si>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</si>
  <si>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</si>
  <si>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</si>
  <si>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</si>
  <si>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</si>
  <si>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</si>
  <si>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</si>
  <si>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</si>
  <si>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</si>
  <si>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</si>
  <si>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</si>
  <si>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</si>
  <si>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</si>
  <si>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</si>
  <si>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</si>
  <si>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</si>
  <si>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</si>
  <si>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</si>
  <si>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</si>
  <si>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</si>
  <si>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</si>
  <si>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</si>
  <si>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</si>
  <si>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</si>
  <si>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</si>
  <si>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</si>
  <si>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</si>
  <si>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</si>
  <si>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</si>
  <si>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</si>
  <si>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</si>
  <si>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</si>
  <si>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</si>
  <si>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</si>
  <si>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</si>
  <si>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</si>
  <si>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</si>
  <si>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</si>
  <si>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</si>
  <si>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</si>
  <si>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</si>
  <si>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</si>
  <si>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</si>
  <si>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</si>
  <si>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</si>
  <si>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</si>
  <si>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</si>
  <si>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</si>
  <si>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</si>
  <si>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</si>
  <si>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</si>
  <si>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</si>
  <si>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</si>
  <si>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</si>
  <si>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</si>
  <si>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</si>
  <si>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</si>
  <si>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</si>
  <si>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</si>
  <si>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</si>
  <si>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</si>
  <si>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</si>
  <si>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</si>
  <si>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</si>
  <si>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</si>
  <si>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</si>
  <si>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</si>
  <si>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</si>
  <si>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</si>
  <si>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</si>
  <si>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</si>
  <si>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</si>
  <si>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</si>
  <si>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</si>
  <si>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</si>
  <si>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</si>
  <si>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</si>
  <si>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</si>
  <si>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</si>
  <si>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</si>
  <si>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</si>
  <si>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</si>
  <si>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</si>
  <si>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</si>
  <si>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</si>
  <si>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</si>
  <si>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</si>
  <si>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</si>
  <si>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</si>
  <si>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</si>
  <si>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</si>
  <si>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</si>
  <si>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</si>
  <si>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</si>
  <si>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</si>
  <si>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</si>
  <si>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</si>
  <si>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</si>
  <si>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</si>
  <si>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</si>
  <si>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</si>
  <si>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</si>
  <si>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</si>
  <si>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</si>
  <si>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</si>
  <si>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</si>
  <si>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</si>
  <si>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</si>
  <si>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</si>
  <si>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</si>
  <si>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</si>
  <si>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</si>
  <si>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</si>
  <si>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</si>
  <si>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</si>
  <si>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</si>
  <si>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</si>
  <si>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</si>
  <si>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</si>
  <si>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</si>
  <si>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</si>
  <si>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</si>
  <si>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</si>
  <si>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</si>
  <si>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</si>
  <si>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</si>
  <si>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</si>
  <si>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</si>
  <si>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</si>
  <si>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</si>
  <si>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</si>
  <si>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</si>
  <si>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</si>
  <si>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</si>
  <si>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</si>
  <si>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</si>
  <si>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</si>
  <si>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</si>
  <si>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</si>
  <si>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</si>
  <si>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</si>
  <si>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</si>
  <si>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</si>
  <si>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</si>
  <si>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</si>
  <si>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</si>
  <si>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</si>
  <si>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</si>
  <si>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</si>
  <si>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</si>
  <si>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</si>
  <si>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</si>
  <si>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</si>
  <si>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</si>
  <si>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</si>
  <si>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</si>
  <si>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</si>
  <si>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</si>
  <si>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</si>
  <si>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</si>
  <si>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</si>
  <si>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</si>
  <si>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</si>
  <si>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</si>
  <si>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</si>
  <si>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</si>
  <si>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</si>
  <si>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</si>
  <si>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</si>
  <si>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</si>
  <si>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</si>
  <si>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</si>
  <si>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</si>
  <si>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</si>
  <si>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</si>
  <si>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</si>
  <si>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</si>
  <si>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</si>
  <si>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</si>
  <si>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</si>
  <si>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</si>
  <si>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</si>
  <si>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</si>
  <si>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</si>
  <si>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</si>
  <si>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</si>
  <si>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</si>
  <si>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</si>
  <si>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</si>
  <si>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</si>
  <si>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</si>
  <si>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</si>
  <si>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</si>
  <si>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</si>
  <si>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</si>
  <si>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</si>
  <si>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</si>
  <si>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</si>
  <si>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</si>
  <si>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</si>
  <si>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</si>
  <si>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</si>
  <si>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</si>
  <si>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</si>
  <si>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</si>
  <si>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</si>
  <si>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</si>
  <si>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</si>
  <si>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</si>
  <si>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</si>
  <si>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</si>
  <si>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</si>
  <si>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</si>
  <si>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</si>
  <si>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</si>
  <si>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</si>
  <si>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</si>
  <si>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</si>
  <si>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</si>
  <si>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</si>
  <si>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</si>
  <si>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</si>
  <si>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</si>
  <si>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</si>
  <si>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</si>
  <si>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</si>
  <si>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</si>
  <si>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</si>
  <si>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</si>
  <si>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</si>
  <si>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</si>
  <si>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</si>
  <si>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</si>
  <si>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</si>
  <si>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</si>
  <si>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</si>
  <si>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</si>
  <si>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</si>
  <si>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</si>
  <si>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</si>
  <si>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</si>
  <si>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</si>
  <si>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</si>
  <si>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</si>
  <si>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</si>
  <si>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</si>
  <si>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</si>
  <si>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</si>
  <si>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</si>
  <si>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</si>
  <si>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</si>
  <si>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</si>
  <si>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</si>
  <si>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</si>
  <si>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</si>
  <si>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</si>
  <si>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</si>
  <si>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</si>
  <si>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</si>
  <si>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</si>
  <si>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</si>
  <si>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</si>
  <si>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</si>
  <si>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</si>
  <si>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</si>
  <si>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</si>
  <si>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</si>
  <si>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</si>
  <si>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</si>
  <si>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</si>
  <si>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</si>
  <si>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</si>
  <si>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</si>
  <si>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</si>
  <si>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</si>
  <si>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</si>
  <si>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</si>
  <si>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</si>
  <si>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</si>
  <si>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</si>
  <si>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</si>
  <si>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</si>
  <si>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</si>
  <si>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</si>
  <si>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</si>
  <si>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</si>
  <si>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</si>
  <si>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</si>
  <si>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</si>
  <si>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</si>
  <si>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</si>
  <si>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</si>
  <si>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</si>
  <si>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</si>
  <si>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</si>
  <si>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</si>
  <si>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</si>
  <si>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</si>
  <si>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</si>
  <si>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</si>
  <si>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</si>
  <si>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</si>
  <si>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</si>
  <si>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</si>
  <si>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</si>
  <si>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</si>
  <si>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</si>
  <si>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</si>
  <si>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</si>
  <si>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</si>
  <si>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</si>
  <si>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</si>
  <si>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</si>
  <si>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</si>
  <si>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</si>
  <si>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</si>
  <si>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</si>
  <si>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</si>
  <si>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</si>
  <si>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</si>
  <si>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</si>
  <si>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</si>
  <si>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</si>
  <si>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</si>
  <si>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</si>
  <si>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</si>
  <si>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</si>
  <si>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</si>
  <si>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</si>
  <si>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</si>
  <si>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</si>
  <si>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</si>
  <si>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</si>
  <si>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</si>
  <si>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</si>
  <si>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</si>
  <si>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</si>
  <si>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</si>
  <si>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</si>
  <si>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</si>
  <si>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</si>
  <si>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</si>
  <si>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</si>
  <si>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</si>
  <si>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</si>
  <si>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</si>
  <si>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</si>
  <si>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</si>
  <si>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</si>
  <si>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</si>
  <si>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</si>
  <si>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</si>
  <si>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</si>
  <si>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</si>
  <si>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</si>
  <si>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</si>
  <si>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</si>
  <si>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</si>
  <si>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</si>
  <si>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</si>
  <si>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</si>
  <si>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</si>
  <si>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</si>
  <si>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</si>
  <si>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</si>
  <si>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</si>
  <si>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</si>
  <si>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</si>
  <si>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</si>
  <si>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</si>
  <si>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</si>
  <si>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</si>
  <si>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</si>
  <si>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</si>
  <si>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</si>
  <si>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</si>
  <si>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</si>
  <si>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</si>
  <si>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</si>
  <si>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</si>
  <si>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</si>
  <si>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</si>
  <si>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</si>
  <si>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</si>
  <si>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</si>
  <si>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</si>
  <si>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</si>
  <si>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</si>
  <si>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</si>
  <si>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</si>
  <si>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</si>
  <si>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</si>
  <si>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</si>
  <si>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</si>
  <si>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</si>
  <si>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</si>
  <si>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</si>
  <si>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</si>
  <si>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</si>
  <si>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</si>
  <si>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</si>
  <si>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</si>
  <si>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</si>
  <si>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</si>
  <si>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</si>
  <si>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</si>
  <si>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</si>
  <si>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</si>
  <si>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</si>
  <si>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</si>
  <si>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</si>
  <si>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</si>
  <si>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</si>
  <si>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</si>
  <si>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</si>
  <si>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</si>
  <si>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</si>
  <si>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</si>
  <si>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</si>
  <si>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</si>
  <si>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</si>
  <si>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</si>
  <si>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</si>
  <si>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</si>
  <si>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</si>
  <si>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</si>
  <si>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</si>
  <si>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</si>
  <si>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</si>
  <si>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</si>
  <si>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</si>
  <si>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</si>
  <si>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</si>
  <si>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</si>
  <si>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</si>
  <si>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</si>
  <si>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</si>
  <si>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</si>
  <si>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</si>
  <si>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</si>
  <si>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</si>
  <si>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</si>
  <si>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</si>
  <si>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</si>
  <si>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</si>
  <si>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</si>
  <si>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</si>
  <si>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</si>
  <si>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</si>
  <si>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</si>
  <si>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</si>
  <si>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</si>
  <si>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</si>
  <si>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</si>
  <si>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</si>
  <si>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</si>
  <si>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</si>
  <si>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</si>
  <si>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</si>
  <si>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</si>
  <si>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</si>
  <si>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</si>
  <si>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</si>
  <si>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</si>
  <si>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</si>
  <si>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</si>
  <si>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</si>
  <si>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</si>
  <si>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</si>
  <si>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</si>
  <si>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</si>
  <si>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</si>
  <si>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</si>
  <si>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</si>
  <si>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</si>
  <si>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</si>
  <si>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</si>
  <si>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</si>
  <si>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</si>
  <si>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</si>
  <si>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</si>
  <si>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</si>
  <si>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</si>
  <si>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</si>
  <si>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</si>
  <si>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</si>
  <si>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</si>
  <si>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</si>
  <si>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</si>
  <si>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</si>
  <si>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</si>
  <si>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</si>
  <si>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</si>
  <si>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</si>
  <si>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</si>
  <si>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</si>
  <si>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</si>
  <si>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</si>
  <si>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</si>
  <si>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</si>
  <si>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</si>
  <si>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</si>
  <si>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</si>
  <si>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</si>
  <si>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</si>
  <si>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</si>
  <si>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</si>
  <si>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</si>
  <si>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</si>
  <si>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</si>
  <si>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</si>
  <si>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</si>
  <si>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</si>
  <si>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</si>
  <si>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</si>
  <si>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</si>
  <si>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</si>
  <si>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</si>
  <si>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</si>
  <si>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</si>
  <si>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</si>
  <si>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</si>
  <si>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</si>
  <si>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</si>
  <si>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</si>
  <si>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</si>
  <si>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</si>
  <si>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</si>
  <si>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</si>
  <si>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</si>
  <si>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</si>
  <si>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</si>
  <si>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</si>
  <si>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</si>
  <si>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</si>
  <si>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</si>
  <si>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</si>
  <si>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</si>
  <si>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</si>
  <si>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</si>
  <si>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</si>
  <si>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</si>
  <si>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</si>
  <si>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</si>
  <si>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</si>
  <si>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</si>
  <si>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</si>
  <si>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</si>
  <si>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</si>
  <si>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</si>
  <si>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</si>
  <si>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</si>
  <si>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</si>
  <si>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</si>
  <si>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</si>
  <si>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</si>
  <si>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</si>
  <si>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</si>
  <si>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</si>
  <si>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</si>
  <si>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</si>
  <si>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</si>
  <si>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</si>
  <si>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</si>
  <si>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</si>
  <si>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</si>
  <si>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</si>
  <si>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</si>
  <si>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</si>
  <si>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</si>
  <si>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</si>
  <si>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</si>
  <si>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</si>
  <si>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</si>
  <si>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</si>
  <si>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</si>
  <si>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</si>
  <si>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</si>
  <si>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</si>
  <si>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</si>
  <si>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</si>
  <si>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</si>
  <si>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</si>
  <si>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</si>
  <si>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</si>
  <si>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</si>
  <si>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</si>
  <si>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</si>
  <si>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</si>
  <si>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</si>
  <si>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</si>
  <si>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</si>
  <si>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</si>
  <si>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</si>
  <si>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</si>
  <si>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</si>
  <si>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</si>
  <si>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</si>
  <si>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</si>
  <si>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</si>
  <si>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</si>
  <si>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</si>
  <si>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</si>
  <si>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</si>
  <si>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</si>
  <si>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</si>
  <si>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</si>
  <si>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</si>
  <si>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</si>
  <si>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</si>
  <si>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Call Count</t>
  </si>
  <si>
    <t>Total Amount</t>
  </si>
  <si>
    <t>Total Duration</t>
  </si>
  <si>
    <t>Average Rating</t>
  </si>
  <si>
    <t>5* Calls</t>
  </si>
  <si>
    <t>Row Labels</t>
  </si>
  <si>
    <t>Sunday</t>
  </si>
  <si>
    <t>Monday</t>
  </si>
  <si>
    <t>Tuesday</t>
  </si>
  <si>
    <t>Wednesday</t>
  </si>
  <si>
    <t>Thursday</t>
  </si>
  <si>
    <t>Friday</t>
  </si>
  <si>
    <t>Saturday</t>
  </si>
  <si>
    <t>Grand Total</t>
  </si>
  <si>
    <t>Jan</t>
  </si>
  <si>
    <t>Feb</t>
  </si>
  <si>
    <t>Mar</t>
  </si>
  <si>
    <t>Apr</t>
  </si>
  <si>
    <t>May</t>
  </si>
  <si>
    <t>Jun</t>
  </si>
  <si>
    <t>Jul</t>
  </si>
  <si>
    <t>Aug</t>
  </si>
  <si>
    <t>Sep</t>
  </si>
  <si>
    <t>Oct</t>
  </si>
  <si>
    <t>Nov</t>
  </si>
  <si>
    <t>Dec</t>
  </si>
  <si>
    <t>Column Labels</t>
  </si>
  <si>
    <t>Call Count2</t>
  </si>
  <si>
    <t>Graph</t>
  </si>
  <si>
    <t>sel.amount</t>
  </si>
  <si>
    <t>sel.rep</t>
  </si>
  <si>
    <t>sell.call</t>
  </si>
  <si>
    <t xml:space="preserve">Total </t>
  </si>
  <si>
    <t>Sum of Rating rounded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</si>
</sst>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6" formatCode="&quot;₹&quot;\ #,##0;#,##0\ \-&quot;₹&quot;;&quot;₹&quot;\ #,##0"/>
    <numFmt numFmtId="167" formatCode="0.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i/>
      <sz val="11"/>
      <color theme="1"/>
      <name val="Aptos"/>
      <family val="2"/>
      <scheme val="minor"/>
    </font>
    <font>
      <sz val="11"/>
      <color theme="2"/>
      <name val="Aptos"/>
      <family val="2"/>
      <scheme val="minor"/>
    </font>
  </fonts>
  <fills count="5">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theme="7"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8"/>
      </bottom>
      <diagonal/>
    </border>
    <border>
      <left/>
      <right/>
      <top/>
      <bottom style="thin">
        <color theme="4" tint="0.39997558519241921"/>
      </bottom>
      <diagonal/>
    </border>
    <border>
      <left style="medium">
        <color theme="7" tint="-0.499984740745262"/>
      </left>
      <right/>
      <top style="medium">
        <color theme="7" tint="-0.499984740745262"/>
      </top>
      <bottom style="thin">
        <color theme="4" tint="0.39997558519241921"/>
      </bottom>
      <diagonal/>
    </border>
    <border>
      <left/>
      <right/>
      <top style="medium">
        <color theme="7" tint="-0.499984740745262"/>
      </top>
      <bottom style="thin">
        <color theme="4" tint="0.39997558519241921"/>
      </bottom>
      <diagonal/>
    </border>
    <border>
      <left/>
      <right style="medium">
        <color theme="7" tint="-0.499984740745262"/>
      </right>
      <top style="medium">
        <color theme="7" tint="-0.499984740745262"/>
      </top>
      <bottom style="thin">
        <color theme="4" tint="0.39997558519241921"/>
      </bottom>
      <diagonal/>
    </border>
    <border>
      <left style="medium">
        <color theme="7" tint="-0.499984740745262"/>
      </left>
      <right/>
      <top/>
      <bottom/>
      <diagonal/>
    </border>
    <border>
      <left/>
      <right style="medium">
        <color theme="7" tint="-0.499984740745262"/>
      </right>
      <top/>
      <bottom/>
      <diagonal/>
    </border>
    <border>
      <left style="medium">
        <color theme="7" tint="-0.499984740745262"/>
      </left>
      <right/>
      <top/>
      <bottom style="thin">
        <color theme="4" tint="0.39997558519241921"/>
      </bottom>
      <diagonal/>
    </border>
    <border>
      <left/>
      <right style="medium">
        <color theme="7" tint="-0.499984740745262"/>
      </right>
      <top/>
      <bottom style="thin">
        <color theme="4" tint="0.39997558519241921"/>
      </bottom>
      <diagonal/>
    </border>
    <border>
      <left style="medium">
        <color theme="7" tint="-0.499984740745262"/>
      </left>
      <right/>
      <top/>
      <bottom style="medium">
        <color theme="7" tint="-0.499984740745262"/>
      </bottom>
      <diagonal/>
    </border>
    <border>
      <left/>
      <right/>
      <top/>
      <bottom style="medium">
        <color theme="7" tint="-0.499984740745262"/>
      </bottom>
      <diagonal/>
    </border>
    <border>
      <left/>
      <right style="medium">
        <color theme="7" tint="-0.499984740745262"/>
      </right>
      <top/>
      <bottom style="medium">
        <color theme="7" tint="-0.499984740745262"/>
      </bottom>
      <diagonal/>
    </border>
  </borders>
  <cellStyleXfs count="1">
    <xf numFmtId="0" fontId="0" fillId="0" borderId="0"/>
  </cellStyleXfs>
  <cellXfs count="4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4" fillId="0" borderId="0" xfId="0" applyFont="1"/>
    <xf numFmtId="0" fontId="1" fillId="0" borderId="10" xfId="0" applyFont="1" applyBorder="1"/>
    <xf numFmtId="1" fontId="0" fillId="0" borderId="0" xfId="0" applyNumberFormat="1"/>
    <xf numFmtId="166" fontId="0" fillId="0" borderId="0" xfId="0" applyNumberFormat="1"/>
    <xf numFmtId="167" fontId="0" fillId="0" borderId="0" xfId="0" applyNumberFormat="1"/>
    <xf numFmtId="0" fontId="0" fillId="0" borderId="0" xfId="0" pivotButton="1"/>
    <xf numFmtId="0" fontId="5" fillId="3" borderId="0" xfId="0" applyFont="1" applyFill="1"/>
    <xf numFmtId="0" fontId="0" fillId="0" borderId="0" xfId="0" applyAlignment="1">
      <alignment horizontal="left"/>
    </xf>
    <xf numFmtId="166" fontId="0" fillId="4" borderId="0" xfId="0" applyNumberFormat="1" applyFill="1"/>
    <xf numFmtId="0" fontId="1" fillId="4" borderId="11" xfId="0" applyFont="1" applyFill="1" applyBorder="1"/>
    <xf numFmtId="0" fontId="1" fillId="4" borderId="12" xfId="0" applyFont="1" applyFill="1" applyBorder="1" applyAlignment="1">
      <alignment horizontal="left"/>
    </xf>
    <xf numFmtId="0" fontId="1" fillId="4" borderId="13" xfId="0" applyFont="1" applyFill="1" applyBorder="1"/>
    <xf numFmtId="0" fontId="1" fillId="4" borderId="14" xfId="0" applyFont="1" applyFill="1" applyBorder="1"/>
    <xf numFmtId="0" fontId="0" fillId="4" borderId="15" xfId="0" applyFill="1" applyBorder="1" applyAlignment="1">
      <alignment horizontal="left" indent="1"/>
    </xf>
    <xf numFmtId="166" fontId="0" fillId="4" borderId="16" xfId="0" applyNumberFormat="1" applyFill="1" applyBorder="1"/>
    <xf numFmtId="0" fontId="1" fillId="4" borderId="17" xfId="0" applyFont="1" applyFill="1" applyBorder="1" applyAlignment="1">
      <alignment horizontal="left"/>
    </xf>
    <xf numFmtId="0" fontId="1" fillId="4" borderId="18" xfId="0" applyFont="1" applyFill="1" applyBorder="1"/>
    <xf numFmtId="0" fontId="0" fillId="4" borderId="19" xfId="0" applyFill="1" applyBorder="1" applyAlignment="1">
      <alignment horizontal="left" indent="1"/>
    </xf>
    <xf numFmtId="166" fontId="0" fillId="4" borderId="20" xfId="0" applyNumberFormat="1" applyFill="1" applyBorder="1"/>
    <xf numFmtId="166" fontId="0" fillId="4" borderId="21" xfId="0" applyNumberFormat="1" applyFill="1" applyBorder="1"/>
  </cellXfs>
  <cellStyles count="1">
    <cellStyle name="Normal" xfId="0" builtinId="0"/>
  </cellStyles>
  <dxfs count="16">
    <dxf>
      <fill>
        <patternFill>
          <bgColor rgb="FFFFC000"/>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3.xml"/><Relationship Id="rId11" Type="http://schemas.openxmlformats.org/officeDocument/2006/relationships/pivotCacheDefinition" Target="pivotCache/pivotCacheDefinition2.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worksheet" Target="worksheets/sheet8.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solidFill>
              </a:rPr>
              <a:t>Call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shade val="76000"/>
              </a:schemeClr>
            </a:solidFill>
            <a:ln>
              <a:noFill/>
            </a:ln>
            <a:effectLst/>
          </c:spPr>
          <c:invertIfNegative val="0"/>
          <c:cat>
            <c:strRef>
              <c:f>Sheet11!$E$7:$E$11</c:f>
              <c:strCache>
                <c:ptCount val="5"/>
                <c:pt idx="0">
                  <c:v>R01</c:v>
                </c:pt>
                <c:pt idx="1">
                  <c:v>R02</c:v>
                </c:pt>
                <c:pt idx="2">
                  <c:v>R03</c:v>
                </c:pt>
                <c:pt idx="3">
                  <c:v>R04</c:v>
                </c:pt>
                <c:pt idx="4">
                  <c:v>R05</c:v>
                </c:pt>
              </c:strCache>
            </c:strRef>
          </c:cat>
          <c:val>
            <c:numRef>
              <c:f>Sheet11!$F$7:$F$11</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334-4CB3-B959-82325E2F9697}"/>
            </c:ext>
          </c:extLst>
        </c:ser>
        <c:ser>
          <c:idx val="1"/>
          <c:order val="1"/>
          <c:tx>
            <c:strRef>
              <c:f>Sheet11!$H$6</c:f>
              <c:strCache>
                <c:ptCount val="1"/>
                <c:pt idx="0">
                  <c:v>sell.call</c:v>
                </c:pt>
              </c:strCache>
            </c:strRef>
          </c:tx>
          <c:spPr>
            <a:solidFill>
              <a:schemeClr val="accent4">
                <a:tint val="77000"/>
              </a:schemeClr>
            </a:solidFill>
            <a:ln>
              <a:noFill/>
            </a:ln>
            <a:effectLst/>
          </c:spPr>
          <c:invertIfNegative val="0"/>
          <c:val>
            <c:numRef>
              <c:f>Sheet11!$H$7:$H$11</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A334-4CB3-B959-82325E2F9697}"/>
            </c:ext>
          </c:extLst>
        </c:ser>
        <c:dLbls>
          <c:showLegendKey val="0"/>
          <c:showVal val="0"/>
          <c:showCatName val="0"/>
          <c:showSerName val="0"/>
          <c:showPercent val="0"/>
          <c:showBubbleSize val="0"/>
        </c:dLbls>
        <c:gapWidth val="25"/>
        <c:overlap val="100"/>
        <c:axId val="757810543"/>
        <c:axId val="778357999"/>
      </c:barChart>
      <c:catAx>
        <c:axId val="75781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8357999"/>
        <c:crosses val="autoZero"/>
        <c:auto val="1"/>
        <c:lblAlgn val="ctr"/>
        <c:lblOffset val="100"/>
        <c:noMultiLvlLbl val="0"/>
      </c:catAx>
      <c:valAx>
        <c:axId val="7783579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5781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1000">
          <a:schemeClr val="accent2">
            <a:lumMod val="75000"/>
          </a:schemeClr>
        </a:gs>
        <a:gs pos="37000">
          <a:schemeClr val="accent2">
            <a:lumMod val="20000"/>
            <a:lumOff val="80000"/>
          </a:schemeClr>
        </a:gs>
        <a:gs pos="100000">
          <a:schemeClr val="accent1">
            <a:lumMod val="20000"/>
            <a:lumOff val="80000"/>
          </a:schemeClr>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solidFill>
              </a:rPr>
              <a:t>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shade val="76000"/>
              </a:schemeClr>
            </a:solidFill>
            <a:ln>
              <a:noFill/>
            </a:ln>
            <a:effectLst/>
          </c:spPr>
          <c:invertIfNegative val="0"/>
          <c:cat>
            <c:strRef>
              <c:f>Sheet11!$E$7:$E$11</c:f>
              <c:strCache>
                <c:ptCount val="5"/>
                <c:pt idx="0">
                  <c:v>R01</c:v>
                </c:pt>
                <c:pt idx="1">
                  <c:v>R02</c:v>
                </c:pt>
                <c:pt idx="2">
                  <c:v>R03</c:v>
                </c:pt>
                <c:pt idx="3">
                  <c:v>R04</c:v>
                </c:pt>
                <c:pt idx="4">
                  <c:v>R05</c:v>
                </c:pt>
              </c:strCache>
            </c:strRef>
          </c:cat>
          <c:val>
            <c:numRef>
              <c:f>Sheet11!$G$7:$G$11</c:f>
              <c:numCache>
                <c:formatCode>"₹"\ #,##0;#,##0\ \-"₹";"₹"\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B9D-4E9B-B725-677E93CFA675}"/>
            </c:ext>
          </c:extLst>
        </c:ser>
        <c:ser>
          <c:idx val="1"/>
          <c:order val="1"/>
          <c:tx>
            <c:strRef>
              <c:f>Sheet11!$I$6</c:f>
              <c:strCache>
                <c:ptCount val="1"/>
                <c:pt idx="0">
                  <c:v>sel.amount</c:v>
                </c:pt>
              </c:strCache>
            </c:strRef>
          </c:tx>
          <c:spPr>
            <a:solidFill>
              <a:schemeClr val="accent4">
                <a:tint val="77000"/>
              </a:schemeClr>
            </a:solidFill>
            <a:ln>
              <a:noFill/>
            </a:ln>
            <a:effectLst/>
          </c:spPr>
          <c:invertIfNegative val="0"/>
          <c:val>
            <c:numRef>
              <c:f>Sheet11!$I$7:$I$11</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9B9D-4E9B-B725-677E93CFA675}"/>
            </c:ext>
          </c:extLst>
        </c:ser>
        <c:dLbls>
          <c:showLegendKey val="0"/>
          <c:showVal val="0"/>
          <c:showCatName val="0"/>
          <c:showSerName val="0"/>
          <c:showPercent val="0"/>
          <c:showBubbleSize val="0"/>
        </c:dLbls>
        <c:gapWidth val="25"/>
        <c:overlap val="100"/>
        <c:axId val="757810543"/>
        <c:axId val="778357999"/>
      </c:barChart>
      <c:catAx>
        <c:axId val="75781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8357999"/>
        <c:crosses val="autoZero"/>
        <c:auto val="1"/>
        <c:lblAlgn val="ctr"/>
        <c:lblOffset val="100"/>
        <c:noMultiLvlLbl val="0"/>
      </c:catAx>
      <c:valAx>
        <c:axId val="778357999"/>
        <c:scaling>
          <c:orientation val="minMax"/>
        </c:scaling>
        <c:delete val="0"/>
        <c:axPos val="b"/>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5781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6000">
          <a:schemeClr val="accent2">
            <a:lumMod val="75000"/>
          </a:schemeClr>
        </a:gs>
        <a:gs pos="37000">
          <a:schemeClr val="accent2">
            <a:lumMod val="20000"/>
            <a:lumOff val="80000"/>
          </a:schemeClr>
        </a:gs>
        <a:gs pos="100000">
          <a:schemeClr val="accent1">
            <a:lumMod val="20000"/>
            <a:lumOff val="80000"/>
          </a:schemeClr>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[data-N-JAYASREE.xlsx]Sheet17!PivotTable16</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Sheet17!$B$3</c:f>
              <c:strCache>
                <c:ptCount val="1"/>
                <c:pt idx="0">
                  <c:v>Total</c:v>
                </c:pt>
              </c:strCache>
            </c:strRef>
          </c:tx>
          <c:spPr>
            <a:solidFill>
              <a:schemeClr val="accent4"/>
            </a:solidFill>
            <a:ln>
              <a:noFill/>
            </a:ln>
            <a:effectLst/>
            <a:sp3d/>
          </c:spPr>
          <c:invertIfNegative val="0"/>
          <c:cat>
            <c:strRef>
              <c:f>Sheet17!$A$4:$A$9</c:f>
              <c:strCache>
                <c:ptCount val="5"/>
                <c:pt idx="0">
                  <c:v>R01</c:v>
                </c:pt>
                <c:pt idx="1">
                  <c:v>R02</c:v>
                </c:pt>
                <c:pt idx="2">
                  <c:v>R03</c:v>
                </c:pt>
                <c:pt idx="3">
                  <c:v>R04</c:v>
                </c:pt>
                <c:pt idx="4">
                  <c:v>R05</c:v>
                </c:pt>
              </c:strCache>
            </c:strRef>
          </c:cat>
          <c:val>
            <c:numRef>
              <c:f>Sheet17!$B$4:$B$9</c:f>
              <c:numCache>
                <c:formatCode>General</c:formatCode>
                <c:ptCount val="5"/>
                <c:pt idx="0">
                  <c:v>764</c:v>
                </c:pt>
                <c:pt idx="1">
                  <c:v>864</c:v>
                </c:pt>
                <c:pt idx="2">
                  <c:v>813</c:v>
                </c:pt>
                <c:pt idx="3">
                  <c:v>736</c:v>
                </c:pt>
                <c:pt idx="4">
                  <c:v>787</c:v>
                </c:pt>
              </c:numCache>
            </c:numRef>
          </c:val>
          <c:extLst>
            <c:ext xmlns:c16="http://schemas.microsoft.com/office/drawing/2014/chart" uri="{C3380CC4-5D6E-409C-BE32-E72D297353CC}">
              <c16:uniqueId val="{00000000-A496-4638-B32A-C6D806436002}"/>
            </c:ext>
          </c:extLst>
        </c:ser>
        <c:dLbls>
          <c:showLegendKey val="0"/>
          <c:showVal val="0"/>
          <c:showCatName val="0"/>
          <c:showSerName val="0"/>
          <c:showPercent val="0"/>
          <c:showBubbleSize val="0"/>
        </c:dLbls>
        <c:gapWidth val="150"/>
        <c:shape val="box"/>
        <c:axId val="201734992"/>
        <c:axId val="1836009263"/>
        <c:axId val="0"/>
      </c:bar3DChart>
      <c:catAx>
        <c:axId val="201734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36009263"/>
        <c:crosses val="autoZero"/>
        <c:auto val="1"/>
        <c:lblAlgn val="ctr"/>
        <c:lblOffset val="100"/>
        <c:noMultiLvlLbl val="0"/>
      </c:catAx>
      <c:valAx>
        <c:axId val="183600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17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7000">
          <a:schemeClr val="accent2">
            <a:lumMod val="20000"/>
            <a:lumOff val="80000"/>
          </a:schemeClr>
        </a:gs>
        <a:gs pos="86000">
          <a:schemeClr val="accent2">
            <a:lumMod val="75000"/>
          </a:schemeClr>
        </a:gs>
        <a:gs pos="48000">
          <a:schemeClr val="accent2">
            <a:lumMod val="60000"/>
            <a:lumOff val="40000"/>
          </a:schemeClr>
        </a:gs>
        <a:gs pos="100000">
          <a:schemeClr val="accent1">
            <a:lumMod val="20000"/>
            <a:lumOff val="80000"/>
          </a:schemeClr>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[data-N-JAYASREE.xlsx]Sheet9!PivotTable6</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solidFill>
              </a:rPr>
              <a:t>Card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Sheet9!$C$3</c:f>
              <c:strCache>
                <c:ptCount val="1"/>
                <c:pt idx="0">
                  <c:v>Call Count2</c:v>
                </c:pt>
              </c:strCache>
            </c:strRef>
          </c:tx>
          <c:spPr>
            <a:solidFill>
              <a:schemeClr val="accent4">
                <a:tint val="77000"/>
              </a:schemeClr>
            </a:solidFill>
            <a:ln>
              <a:noFill/>
            </a:ln>
            <a:effectLst/>
          </c:spP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Sheet9!$C$4:$C$16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81A1-4C67-AA24-062CA22A483E}"/>
            </c:ext>
          </c:extLst>
        </c:ser>
        <c:dLbls>
          <c:showLegendKey val="0"/>
          <c:showVal val="0"/>
          <c:showCatName val="0"/>
          <c:showSerName val="0"/>
          <c:showPercent val="0"/>
          <c:showBubbleSize val="0"/>
        </c:dLbls>
        <c:axId val="508496767"/>
        <c:axId val="1836007823"/>
      </c:areaChart>
      <c:lineChart>
        <c:grouping val="standard"/>
        <c:varyColors val="0"/>
        <c:ser>
          <c:idx val="0"/>
          <c:order val="0"/>
          <c:tx>
            <c:strRef>
              <c:f>Sheet9!$B$3</c:f>
              <c:strCache>
                <c:ptCount val="1"/>
                <c:pt idx="0">
                  <c:v>Call Count</c:v>
                </c:pt>
              </c:strCache>
            </c:strRef>
          </c:tx>
          <c:spPr>
            <a:ln w="28575" cap="rnd">
              <a:solidFill>
                <a:schemeClr val="accent4">
                  <a:shade val="76000"/>
                </a:schemeClr>
              </a:solidFill>
              <a:round/>
            </a:ln>
            <a:effectLst/>
          </c:spPr>
          <c:marker>
            <c:symbol val="circle"/>
            <c:size val="5"/>
            <c:spPr>
              <a:solidFill>
                <a:schemeClr val="accent4">
                  <a:shade val="76000"/>
                </a:schemeClr>
              </a:solidFill>
              <a:ln w="9525">
                <a:solidFill>
                  <a:schemeClr val="accent4">
                    <a:shade val="76000"/>
                  </a:schemeClr>
                </a:solidFill>
              </a:ln>
              <a:effectLst/>
            </c:spPr>
          </c:marke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81A1-4C67-AA24-062CA22A483E}"/>
            </c:ext>
          </c:extLst>
        </c:ser>
        <c:dLbls>
          <c:showLegendKey val="0"/>
          <c:showVal val="0"/>
          <c:showCatName val="0"/>
          <c:showSerName val="0"/>
          <c:showPercent val="0"/>
          <c:showBubbleSize val="0"/>
        </c:dLbls>
        <c:marker val="1"/>
        <c:smooth val="0"/>
        <c:axId val="508496767"/>
        <c:axId val="1836007823"/>
      </c:lineChart>
      <c:catAx>
        <c:axId val="50849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36007823"/>
        <c:crosses val="autoZero"/>
        <c:auto val="1"/>
        <c:lblAlgn val="ctr"/>
        <c:lblOffset val="100"/>
        <c:noMultiLvlLbl val="0"/>
      </c:catAx>
      <c:valAx>
        <c:axId val="1836007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084967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56000">
          <a:schemeClr val="accent2">
            <a:lumMod val="75000"/>
          </a:schemeClr>
        </a:gs>
        <a:gs pos="15000">
          <a:schemeClr val="accent2">
            <a:lumMod val="20000"/>
            <a:lumOff val="80000"/>
          </a:schemeClr>
        </a:gs>
        <a:gs pos="100000">
          <a:schemeClr val="accent1">
            <a:lumMod val="20000"/>
            <a:lumOff val="80000"/>
          </a:schemeClr>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[data-N-JAYASREE.xlsx]Sheet19!PivotTable18</c:name>
    <c:fmtId val="2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Sheet19!$B$3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Sheet19!$A$4:$A$11</c:f>
              <c:strCache>
                <c:ptCount val="7"/>
                <c:pt idx="0">
                  <c:v>Friday</c:v>
                </c:pt>
                <c:pt idx="1">
                  <c:v>Monday</c:v>
                </c:pt>
                <c:pt idx="2">
                  <c:v>Saturday</c:v>
                </c:pt>
                <c:pt idx="3">
                  <c:v>Sunday</c:v>
                </c:pt>
                <c:pt idx="4">
                  <c:v>Thursday</c:v>
                </c:pt>
                <c:pt idx="5">
                  <c:v>Tuesday</c:v>
                </c:pt>
                <c:pt idx="6">
                  <c:v>Wednesday</c:v>
                </c:pt>
              </c:strCache>
            </c:strRef>
          </c:cat>
          <c:val>
            <c:numRef>
              <c:f>Sheet19!$B$4:$B$11</c:f>
              <c:numCache>
                <c:formatCode>0</c:formatCode>
                <c:ptCount val="7"/>
                <c:pt idx="0">
                  <c:v>141</c:v>
                </c:pt>
                <c:pt idx="1">
                  <c:v>133</c:v>
                </c:pt>
                <c:pt idx="2">
                  <c:v>161</c:v>
                </c:pt>
                <c:pt idx="3">
                  <c:v>146</c:v>
                </c:pt>
                <c:pt idx="4">
                  <c:v>128</c:v>
                </c:pt>
                <c:pt idx="5">
                  <c:v>138</c:v>
                </c:pt>
                <c:pt idx="6">
                  <c:v>153</c:v>
                </c:pt>
              </c:numCache>
            </c:numRef>
          </c:val>
          <c:extLst>
            <c:ext xmlns:c16="http://schemas.microsoft.com/office/drawing/2014/chart" uri="{C3380CC4-5D6E-409C-BE32-E72D297353CC}">
              <c16:uniqueId val="{00000000-8A96-4A4C-8DDC-1E74EECC9C03}"/>
            </c:ext>
          </c:extLst>
        </c:ser>
        <c:dLbls>
          <c:dLblPos val="outEnd"/>
          <c:showLegendKey val="0"/>
          <c:showVal val="1"/>
          <c:showCatName val="0"/>
          <c:showSerName val="0"/>
          <c:showPercent val="0"/>
          <c:showBubbleSize val="0"/>
        </c:dLbls>
        <c:gapWidth val="182"/>
        <c:axId val="2063609615"/>
        <c:axId val="778571119"/>
      </c:barChart>
      <c:catAx>
        <c:axId val="206360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8571119"/>
        <c:crosses val="autoZero"/>
        <c:auto val="1"/>
        <c:lblAlgn val="ctr"/>
        <c:lblOffset val="100"/>
        <c:noMultiLvlLbl val="0"/>
      </c:catAx>
      <c:valAx>
        <c:axId val="778571119"/>
        <c:scaling>
          <c:orientation val="minMax"/>
        </c:scaling>
        <c:delete val="1"/>
        <c:axPos val="b"/>
        <c:numFmt formatCode="0" sourceLinked="1"/>
        <c:majorTickMark val="none"/>
        <c:minorTickMark val="none"/>
        <c:tickLblPos val="nextTo"/>
        <c:crossAx val="2063609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5000">
          <a:schemeClr val="accent2">
            <a:lumMod val="40000"/>
            <a:lumOff val="60000"/>
          </a:schemeClr>
        </a:gs>
        <a:gs pos="19000">
          <a:schemeClr val="accent2">
            <a:lumMod val="60000"/>
            <a:lumOff val="40000"/>
          </a:schemeClr>
        </a:gs>
        <a:gs pos="85000">
          <a:schemeClr val="accent2">
            <a:lumMod val="75000"/>
          </a:schemeClr>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[data-N-JAYASREE.xlsx]Sheet21!PivotTable20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2"/>
                </a:solidFill>
              </a:rPr>
              <a:t>Female Vs Male </a:t>
            </a:r>
          </a:p>
          <a:p>
            <a:pPr>
              <a:defRPr/>
            </a:pPr>
            <a:r>
              <a:rPr lang="en-IN" b="1">
                <a:solidFill>
                  <a:schemeClr val="accent2"/>
                </a:solidFill>
              </a:rPr>
              <a:t>Caller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Sheet21!$B$3:$B$4</c:f>
              <c:strCache>
                <c:ptCount val="1"/>
                <c:pt idx="0">
                  <c:v>Female</c:v>
                </c:pt>
              </c:strCache>
            </c:strRef>
          </c:tx>
          <c:spPr>
            <a:solidFill>
              <a:schemeClr val="accent4">
                <a:shade val="76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Sheet21!$A$5:$A$8</c:f>
              <c:strCache>
                <c:ptCount val="3"/>
                <c:pt idx="0">
                  <c:v>Cincinnati</c:v>
                </c:pt>
                <c:pt idx="1">
                  <c:v>Cleveland</c:v>
                </c:pt>
                <c:pt idx="2">
                  <c:v>Columbus</c:v>
                </c:pt>
              </c:strCache>
            </c:strRef>
          </c:cat>
          <c:val>
            <c:numRef>
              <c:f>Sheet21!$B$5:$B$8</c:f>
              <c:numCache>
                <c:formatCode>0</c:formatCode>
                <c:ptCount val="3"/>
                <c:pt idx="0">
                  <c:v>144</c:v>
                </c:pt>
                <c:pt idx="1">
                  <c:v>326</c:v>
                </c:pt>
                <c:pt idx="2">
                  <c:v>129</c:v>
                </c:pt>
              </c:numCache>
            </c:numRef>
          </c:val>
          <c:extLst>
            <c:ext xmlns:c16="http://schemas.microsoft.com/office/drawing/2014/chart" uri="{C3380CC4-5D6E-409C-BE32-E72D297353CC}">
              <c16:uniqueId val="{00000000-2735-4EB2-94FB-CF7B503AB50D}"/>
            </c:ext>
          </c:extLst>
        </c:ser>
        <c:ser>
          <c:idx val="1"/>
          <c:order val="1"/>
          <c:tx>
            <c:strRef>
              <c:f>Sheet21!$C$3:$C$4</c:f>
              <c:strCache>
                <c:ptCount val="1"/>
                <c:pt idx="0">
                  <c:v>Male</c:v>
                </c:pt>
              </c:strCache>
            </c:strRef>
          </c:tx>
          <c:spPr>
            <a:solidFill>
              <a:schemeClr val="accent4">
                <a:tint val="77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Sheet21!$A$5:$A$8</c:f>
              <c:strCache>
                <c:ptCount val="3"/>
                <c:pt idx="0">
                  <c:v>Cincinnati</c:v>
                </c:pt>
                <c:pt idx="1">
                  <c:v>Cleveland</c:v>
                </c:pt>
                <c:pt idx="2">
                  <c:v>Columbus</c:v>
                </c:pt>
              </c:strCache>
            </c:strRef>
          </c:cat>
          <c:val>
            <c:numRef>
              <c:f>Sheet21!$C$5:$C$8</c:f>
              <c:numCache>
                <c:formatCode>0</c:formatCode>
                <c:ptCount val="3"/>
                <c:pt idx="0">
                  <c:v>132</c:v>
                </c:pt>
                <c:pt idx="1">
                  <c:v>63</c:v>
                </c:pt>
                <c:pt idx="2">
                  <c:v>206</c:v>
                </c:pt>
              </c:numCache>
            </c:numRef>
          </c:val>
          <c:extLst>
            <c:ext xmlns:c16="http://schemas.microsoft.com/office/drawing/2014/chart" uri="{C3380CC4-5D6E-409C-BE32-E72D297353CC}">
              <c16:uniqueId val="{00000001-2735-4EB2-94FB-CF7B503AB50D}"/>
            </c:ext>
          </c:extLst>
        </c:ser>
        <c:dLbls>
          <c:showLegendKey val="0"/>
          <c:showVal val="1"/>
          <c:showCatName val="0"/>
          <c:showSerName val="0"/>
          <c:showPercent val="0"/>
          <c:showBubbleSize val="0"/>
        </c:dLbls>
        <c:gapWidth val="150"/>
        <c:shape val="box"/>
        <c:axId val="813047375"/>
        <c:axId val="670429071"/>
        <c:axId val="0"/>
      </c:bar3DChart>
      <c:catAx>
        <c:axId val="8130473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70429071"/>
        <c:crosses val="autoZero"/>
        <c:auto val="1"/>
        <c:lblAlgn val="ctr"/>
        <c:lblOffset val="100"/>
        <c:noMultiLvlLbl val="0"/>
      </c:catAx>
      <c:valAx>
        <c:axId val="67042907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1304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5000">
          <a:schemeClr val="accent2">
            <a:lumMod val="40000"/>
            <a:lumOff val="60000"/>
          </a:schemeClr>
        </a:gs>
        <a:gs pos="19000">
          <a:schemeClr val="accent2">
            <a:lumMod val="60000"/>
            <a:lumOff val="40000"/>
          </a:schemeClr>
        </a:gs>
        <a:gs pos="85000">
          <a:schemeClr val="accent2">
            <a:lumMod val="75000"/>
          </a:schemeClr>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[data-N-JAYASREE.xlsx]Sheet9!PivotTable6</c:name>
    <c:fmtId val="8"/>
  </c:pivotSource>
  <c:chart>
    <c:autoTitleDeleted val="0"/>
    <c:pivotFmts>
      <c:pivotFmt>
        <c:idx val="0"/>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Sheet9!$C$3</c:f>
              <c:strCache>
                <c:ptCount val="1"/>
                <c:pt idx="0">
                  <c:v>Call Count2</c:v>
                </c:pt>
              </c:strCache>
            </c:strRef>
          </c:tx>
          <c:spPr>
            <a:solidFill>
              <a:schemeClr val="accent1">
                <a:tint val="77000"/>
              </a:schemeClr>
            </a:solidFill>
            <a:ln>
              <a:noFill/>
            </a:ln>
            <a:effectLst/>
          </c:spP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Sheet9!$C$4:$C$16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2-21CC-4B42-988F-B95AC06A19DD}"/>
            </c:ext>
          </c:extLst>
        </c:ser>
        <c:dLbls>
          <c:showLegendKey val="0"/>
          <c:showVal val="0"/>
          <c:showCatName val="0"/>
          <c:showSerName val="0"/>
          <c:showPercent val="0"/>
          <c:showBubbleSize val="0"/>
        </c:dLbls>
        <c:axId val="508496767"/>
        <c:axId val="1836007823"/>
      </c:areaChart>
      <c:lineChart>
        <c:grouping val="standard"/>
        <c:varyColors val="0"/>
        <c:ser>
          <c:idx val="0"/>
          <c:order val="0"/>
          <c:tx>
            <c:strRef>
              <c:f>Sheet9!$B$3</c:f>
              <c:strCache>
                <c:ptCount val="1"/>
                <c:pt idx="0">
                  <c:v>Call Count</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21CC-4B42-988F-B95AC06A19DD}"/>
            </c:ext>
          </c:extLst>
        </c:ser>
        <c:dLbls>
          <c:showLegendKey val="0"/>
          <c:showVal val="0"/>
          <c:showCatName val="0"/>
          <c:showSerName val="0"/>
          <c:showPercent val="0"/>
          <c:showBubbleSize val="0"/>
        </c:dLbls>
        <c:marker val="1"/>
        <c:smooth val="0"/>
        <c:axId val="508496767"/>
        <c:axId val="1836007823"/>
      </c:lineChart>
      <c:catAx>
        <c:axId val="50849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007823"/>
        <c:crosses val="autoZero"/>
        <c:auto val="1"/>
        <c:lblAlgn val="ctr"/>
        <c:lblOffset val="100"/>
        <c:noMultiLvlLbl val="0"/>
      </c:catAx>
      <c:valAx>
        <c:axId val="1836007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967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Call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shade val="76000"/>
              </a:schemeClr>
            </a:solidFill>
            <a:ln>
              <a:noFill/>
            </a:ln>
            <a:effectLst/>
          </c:spPr>
          <c:invertIfNegative val="0"/>
          <c:cat>
            <c:strRef>
              <c:f>Sheet11!$E$7:$E$11</c:f>
              <c:strCache>
                <c:ptCount val="5"/>
                <c:pt idx="0">
                  <c:v>R01</c:v>
                </c:pt>
                <c:pt idx="1">
                  <c:v>R02</c:v>
                </c:pt>
                <c:pt idx="2">
                  <c:v>R03</c:v>
                </c:pt>
                <c:pt idx="3">
                  <c:v>R04</c:v>
                </c:pt>
                <c:pt idx="4">
                  <c:v>R05</c:v>
                </c:pt>
              </c:strCache>
            </c:strRef>
          </c:cat>
          <c:val>
            <c:numRef>
              <c:f>Sheet11!$F$7:$F$11</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43A-4655-B188-47DFD272A64C}"/>
            </c:ext>
          </c:extLst>
        </c:ser>
        <c:ser>
          <c:idx val="1"/>
          <c:order val="1"/>
          <c:tx>
            <c:strRef>
              <c:f>Sheet11!$H$6</c:f>
              <c:strCache>
                <c:ptCount val="1"/>
                <c:pt idx="0">
                  <c:v>sell.call</c:v>
                </c:pt>
              </c:strCache>
            </c:strRef>
          </c:tx>
          <c:spPr>
            <a:solidFill>
              <a:schemeClr val="accent4">
                <a:tint val="77000"/>
              </a:schemeClr>
            </a:solidFill>
            <a:ln>
              <a:noFill/>
            </a:ln>
            <a:effectLst/>
          </c:spPr>
          <c:invertIfNegative val="0"/>
          <c:val>
            <c:numRef>
              <c:f>Sheet11!$H$7:$H$11</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8-C43A-4655-B188-47DFD272A64C}"/>
            </c:ext>
          </c:extLst>
        </c:ser>
        <c:dLbls>
          <c:showLegendKey val="0"/>
          <c:showVal val="0"/>
          <c:showCatName val="0"/>
          <c:showSerName val="0"/>
          <c:showPercent val="0"/>
          <c:showBubbleSize val="0"/>
        </c:dLbls>
        <c:gapWidth val="25"/>
        <c:overlap val="100"/>
        <c:axId val="757810543"/>
        <c:axId val="778357999"/>
      </c:barChart>
      <c:catAx>
        <c:axId val="75781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8357999"/>
        <c:crosses val="autoZero"/>
        <c:auto val="1"/>
        <c:lblAlgn val="ctr"/>
        <c:lblOffset val="100"/>
        <c:noMultiLvlLbl val="0"/>
      </c:catAx>
      <c:valAx>
        <c:axId val="7783579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5781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1000">
          <a:schemeClr val="accent2">
            <a:lumMod val="75000"/>
          </a:schemeClr>
        </a:gs>
        <a:gs pos="37000">
          <a:schemeClr val="accent2">
            <a:lumMod val="20000"/>
            <a:lumOff val="80000"/>
          </a:schemeClr>
        </a:gs>
        <a:gs pos="100000">
          <a:schemeClr val="accent1">
            <a:lumMod val="20000"/>
            <a:lumOff val="80000"/>
          </a:schemeClr>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rPr>
              <a:t>Total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4">
                <a:shade val="76000"/>
              </a:schemeClr>
            </a:solidFill>
            <a:ln>
              <a:noFill/>
            </a:ln>
            <a:effectLst/>
          </c:spPr>
          <c:invertIfNegative val="0"/>
          <c:cat>
            <c:strRef>
              <c:f>Sheet11!$E$7:$E$11</c:f>
              <c:strCache>
                <c:ptCount val="5"/>
                <c:pt idx="0">
                  <c:v>R01</c:v>
                </c:pt>
                <c:pt idx="1">
                  <c:v>R02</c:v>
                </c:pt>
                <c:pt idx="2">
                  <c:v>R03</c:v>
                </c:pt>
                <c:pt idx="3">
                  <c:v>R04</c:v>
                </c:pt>
                <c:pt idx="4">
                  <c:v>R05</c:v>
                </c:pt>
              </c:strCache>
            </c:strRef>
          </c:cat>
          <c:val>
            <c:numRef>
              <c:f>Sheet11!$G$7:$G$11</c:f>
              <c:numCache>
                <c:formatCode>"₹"\ #,##0;#,##0\ \-"₹";"₹"\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83C-4AE8-B25B-CFDBFAB38D9E}"/>
            </c:ext>
          </c:extLst>
        </c:ser>
        <c:ser>
          <c:idx val="1"/>
          <c:order val="1"/>
          <c:tx>
            <c:strRef>
              <c:f>Sheet11!$I$6</c:f>
              <c:strCache>
                <c:ptCount val="1"/>
                <c:pt idx="0">
                  <c:v>sel.amount</c:v>
                </c:pt>
              </c:strCache>
            </c:strRef>
          </c:tx>
          <c:spPr>
            <a:solidFill>
              <a:schemeClr val="accent4">
                <a:tint val="77000"/>
              </a:schemeClr>
            </a:solidFill>
            <a:ln>
              <a:noFill/>
            </a:ln>
            <a:effectLst/>
          </c:spPr>
          <c:invertIfNegative val="0"/>
          <c:val>
            <c:numRef>
              <c:f>Sheet11!$I$7:$I$11</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2-F83C-4AE8-B25B-CFDBFAB38D9E}"/>
            </c:ext>
          </c:extLst>
        </c:ser>
        <c:dLbls>
          <c:showLegendKey val="0"/>
          <c:showVal val="0"/>
          <c:showCatName val="0"/>
          <c:showSerName val="0"/>
          <c:showPercent val="0"/>
          <c:showBubbleSize val="0"/>
        </c:dLbls>
        <c:gapWidth val="25"/>
        <c:overlap val="100"/>
        <c:axId val="757810543"/>
        <c:axId val="778357999"/>
      </c:barChart>
      <c:catAx>
        <c:axId val="75781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78357999"/>
        <c:crosses val="autoZero"/>
        <c:auto val="1"/>
        <c:lblAlgn val="ctr"/>
        <c:lblOffset val="100"/>
        <c:noMultiLvlLbl val="0"/>
      </c:catAx>
      <c:valAx>
        <c:axId val="778357999"/>
        <c:scaling>
          <c:orientation val="minMax"/>
        </c:scaling>
        <c:delete val="0"/>
        <c:axPos val="b"/>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5781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6000">
          <a:schemeClr val="accent2">
            <a:lumMod val="75000"/>
          </a:schemeClr>
        </a:gs>
        <a:gs pos="37000">
          <a:schemeClr val="accent2">
            <a:lumMod val="20000"/>
            <a:lumOff val="80000"/>
          </a:schemeClr>
        </a:gs>
        <a:gs pos="100000">
          <a:schemeClr val="accent1">
            <a:lumMod val="20000"/>
            <a:lumOff val="80000"/>
          </a:schemeClr>
        </a:gs>
      </a:gsLst>
      <a:lin ang="81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[data-N-JAYASREE.xlsx]Sheet17!PivotTable16</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Sheet17!$B$3</c:f>
              <c:strCache>
                <c:ptCount val="1"/>
                <c:pt idx="0">
                  <c:v>Total</c:v>
                </c:pt>
              </c:strCache>
            </c:strRef>
          </c:tx>
          <c:spPr>
            <a:solidFill>
              <a:schemeClr val="accent4"/>
            </a:solidFill>
            <a:ln>
              <a:noFill/>
            </a:ln>
            <a:effectLst/>
            <a:sp3d/>
          </c:spPr>
          <c:invertIfNegative val="0"/>
          <c:cat>
            <c:strRef>
              <c:f>Sheet17!$A$4:$A$9</c:f>
              <c:strCache>
                <c:ptCount val="5"/>
                <c:pt idx="0">
                  <c:v>R01</c:v>
                </c:pt>
                <c:pt idx="1">
                  <c:v>R02</c:v>
                </c:pt>
                <c:pt idx="2">
                  <c:v>R03</c:v>
                </c:pt>
                <c:pt idx="3">
                  <c:v>R04</c:v>
                </c:pt>
                <c:pt idx="4">
                  <c:v>R05</c:v>
                </c:pt>
              </c:strCache>
            </c:strRef>
          </c:cat>
          <c:val>
            <c:numRef>
              <c:f>Sheet17!$B$4:$B$9</c:f>
              <c:numCache>
                <c:formatCode>General</c:formatCode>
                <c:ptCount val="5"/>
                <c:pt idx="0">
                  <c:v>764</c:v>
                </c:pt>
                <c:pt idx="1">
                  <c:v>864</c:v>
                </c:pt>
                <c:pt idx="2">
                  <c:v>813</c:v>
                </c:pt>
                <c:pt idx="3">
                  <c:v>736</c:v>
                </c:pt>
                <c:pt idx="4">
                  <c:v>787</c:v>
                </c:pt>
              </c:numCache>
            </c:numRef>
          </c:val>
          <c:extLst>
            <c:ext xmlns:c16="http://schemas.microsoft.com/office/drawing/2014/chart" uri="{C3380CC4-5D6E-409C-BE32-E72D297353CC}">
              <c16:uniqueId val="{00000000-7113-4D38-A646-8AFC5CF9EDBC}"/>
            </c:ext>
          </c:extLst>
        </c:ser>
        <c:dLbls>
          <c:showLegendKey val="0"/>
          <c:showVal val="0"/>
          <c:showCatName val="0"/>
          <c:showSerName val="0"/>
          <c:showPercent val="0"/>
          <c:showBubbleSize val="0"/>
        </c:dLbls>
        <c:gapWidth val="150"/>
        <c:shape val="box"/>
        <c:axId val="201734992"/>
        <c:axId val="1836009263"/>
        <c:axId val="0"/>
      </c:bar3DChart>
      <c:catAx>
        <c:axId val="201734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36009263"/>
        <c:crosses val="autoZero"/>
        <c:auto val="1"/>
        <c:lblAlgn val="ctr"/>
        <c:lblOffset val="100"/>
        <c:noMultiLvlLbl val="0"/>
      </c:catAx>
      <c:valAx>
        <c:axId val="183600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173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[data-N-JAYASREE.xlsx]Sheet19!PivotTable18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Sheet19!$A$4:$A$11</c:f>
              <c:strCache>
                <c:ptCount val="7"/>
                <c:pt idx="0">
                  <c:v>Friday</c:v>
                </c:pt>
                <c:pt idx="1">
                  <c:v>Monday</c:v>
                </c:pt>
                <c:pt idx="2">
                  <c:v>Saturday</c:v>
                </c:pt>
                <c:pt idx="3">
                  <c:v>Sunday</c:v>
                </c:pt>
                <c:pt idx="4">
                  <c:v>Thursday</c:v>
                </c:pt>
                <c:pt idx="5">
                  <c:v>Tuesday</c:v>
                </c:pt>
                <c:pt idx="6">
                  <c:v>Wednesday</c:v>
                </c:pt>
              </c:strCache>
            </c:strRef>
          </c:cat>
          <c:val>
            <c:numRef>
              <c:f>Sheet19!$B$4:$B$11</c:f>
              <c:numCache>
                <c:formatCode>0</c:formatCode>
                <c:ptCount val="7"/>
                <c:pt idx="0">
                  <c:v>141</c:v>
                </c:pt>
                <c:pt idx="1">
                  <c:v>133</c:v>
                </c:pt>
                <c:pt idx="2">
                  <c:v>161</c:v>
                </c:pt>
                <c:pt idx="3">
                  <c:v>146</c:v>
                </c:pt>
                <c:pt idx="4">
                  <c:v>128</c:v>
                </c:pt>
                <c:pt idx="5">
                  <c:v>138</c:v>
                </c:pt>
                <c:pt idx="6">
                  <c:v>153</c:v>
                </c:pt>
              </c:numCache>
            </c:numRef>
          </c:val>
          <c:extLst>
            <c:ext xmlns:c16="http://schemas.microsoft.com/office/drawing/2014/chart" uri="{C3380CC4-5D6E-409C-BE32-E72D297353CC}">
              <c16:uniqueId val="{00000000-174C-4FCF-81EF-466BB3EFD9FF}"/>
            </c:ext>
          </c:extLst>
        </c:ser>
        <c:dLbls>
          <c:dLblPos val="outEnd"/>
          <c:showLegendKey val="0"/>
          <c:showVal val="1"/>
          <c:showCatName val="0"/>
          <c:showSerName val="0"/>
          <c:showPercent val="0"/>
          <c:showBubbleSize val="0"/>
        </c:dLbls>
        <c:gapWidth val="182"/>
        <c:axId val="2063609615"/>
        <c:axId val="778571119"/>
      </c:barChart>
      <c:catAx>
        <c:axId val="206360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571119"/>
        <c:crosses val="autoZero"/>
        <c:auto val="1"/>
        <c:lblAlgn val="ctr"/>
        <c:lblOffset val="100"/>
        <c:noMultiLvlLbl val="0"/>
      </c:catAx>
      <c:valAx>
        <c:axId val="778571119"/>
        <c:scaling>
          <c:orientation val="minMax"/>
        </c:scaling>
        <c:delete val="1"/>
        <c:axPos val="b"/>
        <c:numFmt formatCode="0" sourceLinked="1"/>
        <c:majorTickMark val="none"/>
        <c:minorTickMark val="none"/>
        <c:tickLblPos val="nextTo"/>
        <c:crossAx val="206360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[data-N-JAYASREE.xlsx]Sheet21!PivotTable20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Female Vs Male </a:t>
            </a:r>
          </a:p>
          <a:p>
            <a:pPr>
              <a:defRPr/>
            </a:pPr>
            <a:r>
              <a:rPr lang="en-IN"/>
              <a:t>Caller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Sheet21!$B$3:$B$4</c:f>
              <c:strCache>
                <c:ptCount val="1"/>
                <c:pt idx="0">
                  <c:v>Female</c:v>
                </c:pt>
              </c:strCache>
            </c:strRef>
          </c:tx>
          <c:spPr>
            <a:solidFill>
              <a:schemeClr val="accent1"/>
            </a:solidFill>
            <a:ln>
              <a:noFill/>
            </a:ln>
            <a:effectLst/>
            <a:sp3d/>
          </c:spPr>
          <c:invertIfNegative val="0"/>
          <c:cat>
            <c:strRef>
              <c:f>Sheet21!$A$5:$A$8</c:f>
              <c:strCache>
                <c:ptCount val="3"/>
                <c:pt idx="0">
                  <c:v>Cincinnati</c:v>
                </c:pt>
                <c:pt idx="1">
                  <c:v>Cleveland</c:v>
                </c:pt>
                <c:pt idx="2">
                  <c:v>Columbus</c:v>
                </c:pt>
              </c:strCache>
            </c:strRef>
          </c:cat>
          <c:val>
            <c:numRef>
              <c:f>Sheet21!$B$5:$B$8</c:f>
              <c:numCache>
                <c:formatCode>0</c:formatCode>
                <c:ptCount val="3"/>
                <c:pt idx="0">
                  <c:v>144</c:v>
                </c:pt>
                <c:pt idx="1">
                  <c:v>326</c:v>
                </c:pt>
                <c:pt idx="2">
                  <c:v>129</c:v>
                </c:pt>
              </c:numCache>
            </c:numRef>
          </c:val>
          <c:extLst>
            <c:ext xmlns:c16="http://schemas.microsoft.com/office/drawing/2014/chart" uri="{C3380CC4-5D6E-409C-BE32-E72D297353CC}">
              <c16:uniqueId val="{00000000-4017-41FF-87B6-FABCF1A7FF18}"/>
            </c:ext>
          </c:extLst>
        </c:ser>
        <c:ser>
          <c:idx val="1"/>
          <c:order val="1"/>
          <c:tx>
            <c:strRef>
              <c:f>Sheet21!$C$3:$C$4</c:f>
              <c:strCache>
                <c:ptCount val="1"/>
                <c:pt idx="0">
                  <c:v>Male</c:v>
                </c:pt>
              </c:strCache>
            </c:strRef>
          </c:tx>
          <c:spPr>
            <a:solidFill>
              <a:schemeClr val="accent2"/>
            </a:solidFill>
            <a:ln>
              <a:noFill/>
            </a:ln>
            <a:effectLst/>
            <a:sp3d/>
          </c:spPr>
          <c:invertIfNegative val="0"/>
          <c:cat>
            <c:strRef>
              <c:f>Sheet21!$A$5:$A$8</c:f>
              <c:strCache>
                <c:ptCount val="3"/>
                <c:pt idx="0">
                  <c:v>Cincinnati</c:v>
                </c:pt>
                <c:pt idx="1">
                  <c:v>Cleveland</c:v>
                </c:pt>
                <c:pt idx="2">
                  <c:v>Columbus</c:v>
                </c:pt>
              </c:strCache>
            </c:strRef>
          </c:cat>
          <c:val>
            <c:numRef>
              <c:f>Sheet21!$C$5:$C$8</c:f>
              <c:numCache>
                <c:formatCode>0</c:formatCode>
                <c:ptCount val="3"/>
                <c:pt idx="0">
                  <c:v>132</c:v>
                </c:pt>
                <c:pt idx="1">
                  <c:v>63</c:v>
                </c:pt>
                <c:pt idx="2">
                  <c:v>206</c:v>
                </c:pt>
              </c:numCache>
            </c:numRef>
          </c:val>
          <c:extLst>
            <c:ext xmlns:c16="http://schemas.microsoft.com/office/drawing/2014/chart" uri="{C3380CC4-5D6E-409C-BE32-E72D297353CC}">
              <c16:uniqueId val="{00000001-4017-41FF-87B6-FABCF1A7FF18}"/>
            </c:ext>
          </c:extLst>
        </c:ser>
        <c:dLbls>
          <c:showLegendKey val="0"/>
          <c:showVal val="0"/>
          <c:showCatName val="0"/>
          <c:showSerName val="0"/>
          <c:showPercent val="0"/>
          <c:showBubbleSize val="0"/>
        </c:dLbls>
        <c:gapWidth val="150"/>
        <c:shape val="box"/>
        <c:axId val="813047375"/>
        <c:axId val="670429071"/>
        <c:axId val="0"/>
      </c:bar3DChart>
      <c:catAx>
        <c:axId val="8130473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429071"/>
        <c:crosses val="autoZero"/>
        <c:auto val="1"/>
        <c:lblAlgn val="ctr"/>
        <c:lblOffset val="100"/>
        <c:noMultiLvlLbl val="0"/>
      </c:catAx>
      <c:valAx>
        <c:axId val="67042907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04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5</xdr:col>
      <xdr:colOff>525780</xdr:colOff>
      <xdr:row>9</xdr:row>
      <xdr:rowOff>91440</xdr:rowOff>
    </xdr:from>
    <xdr:to>
      <xdr:col>8</xdr:col>
      <xdr:colOff>342900</xdr:colOff>
      <xdr:row>23</xdr:row>
      <xdr:rowOff>112395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A0A1E3AF-981B-E5D9-D350-7DF10CF2F91B}"/>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632960" y="1737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662940</xdr:colOff>
      <xdr:row>3</xdr:row>
      <xdr:rowOff>114300</xdr:rowOff>
    </xdr:from>
    <xdr:to>
      <xdr:col>3</xdr:col>
      <xdr:colOff>91440</xdr:colOff>
      <xdr:row>7</xdr:row>
      <xdr:rowOff>144780</xdr:rowOff>
    </xdr:to>
    <xdr:sp macro="" textlink="Sheet5!$A$8">
      <xdr:nvSpPr>
        <xdr:cNvPr id="2" name="Rectangle: Rounded Corners 1">
          <a:extLst>
            <a:ext uri="{FF2B5EF4-FFF2-40B4-BE49-F238E27FC236}">
              <a16:creationId xmlns:a16="http://schemas.microsoft.com/office/drawing/2014/main" id="{DD4DA202-1ACB-171E-2727-DCFAF2894BC0}"/>
            </a:ext>
          </a:extLst>
        </xdr:cNvPr>
        <xdr:cNvSpPr/>
      </xdr:nvSpPr>
      <xdr:spPr>
        <a:xfrm>
          <a:off x="662940" y="662940"/>
          <a:ext cx="1440180" cy="762000"/>
        </a:xfrm>
        <a:prstGeom prst="roundRect">
          <a:avLst/>
        </a:prstGeom>
        <a:solidFill>
          <a:schemeClr val="accent2"/>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D5DC10F-7EC3-458F-AE3D-40FE6D7F2994}" type="TxLink">
            <a:rPr lang="en-US" sz="2400" b="1" i="0" u="none" strike="noStrike">
              <a:solidFill>
                <a:schemeClr val="bg1"/>
              </a:solidFill>
              <a:latin typeface="Aptos"/>
            </a:rPr>
            <a:pPr algn="ctr"/>
            <a:t>1000</a:t>
          </a:fld>
          <a:endParaRPr lang="en-IN" sz="4800" b="1">
            <a:solidFill>
              <a:schemeClr val="bg1"/>
            </a:solidFill>
          </a:endParaRPr>
        </a:p>
      </xdr:txBody>
    </xdr:sp>
    <xdr:clientData/>
  </xdr:twoCellAnchor>
  <xdr:twoCellAnchor>
    <xdr:from>
      <xdr:col>0</xdr:col>
      <xdr:colOff>662940</xdr:colOff>
      <xdr:row>8</xdr:row>
      <xdr:rowOff>152400</xdr:rowOff>
    </xdr:from>
    <xdr:to>
      <xdr:col>3</xdr:col>
      <xdr:colOff>91440</xdr:colOff>
      <xdr:row>12</xdr:row>
      <xdr:rowOff>114300</xdr:rowOff>
    </xdr:to>
    <xdr:sp macro="" textlink="Sheet5!$B$8">
      <xdr:nvSpPr>
        <xdr:cNvPr id="7" name="Rectangle: Rounded Corners 6">
          <a:extLst>
            <a:ext uri="{FF2B5EF4-FFF2-40B4-BE49-F238E27FC236}">
              <a16:creationId xmlns:a16="http://schemas.microsoft.com/office/drawing/2014/main" id="{1B046237-B8CC-420D-879B-BF2E502C9CAD}"/>
            </a:ext>
          </a:extLst>
        </xdr:cNvPr>
        <xdr:cNvSpPr/>
      </xdr:nvSpPr>
      <xdr:spPr>
        <a:xfrm>
          <a:off x="662940" y="1615440"/>
          <a:ext cx="1440180" cy="693420"/>
        </a:xfrm>
        <a:prstGeom prst="roundRect">
          <a:avLst/>
        </a:prstGeom>
        <a:solidFill>
          <a:schemeClr val="accent2"/>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D48002-3B6D-42CA-9156-B309FFCE2E4D}" type="TxLink">
            <a:rPr lang="en-US" sz="2400" b="1" i="0" u="none" strike="noStrike">
              <a:solidFill>
                <a:schemeClr val="bg1"/>
              </a:solidFill>
              <a:latin typeface="Aptos"/>
            </a:rPr>
            <a:pPr algn="ctr"/>
            <a:t>₹ 96,623</a:t>
          </a:fld>
          <a:endParaRPr lang="en-IN" sz="4800" b="1">
            <a:solidFill>
              <a:schemeClr val="bg1"/>
            </a:solidFill>
          </a:endParaRPr>
        </a:p>
      </xdr:txBody>
    </xdr:sp>
    <xdr:clientData/>
  </xdr:twoCellAnchor>
  <xdr:twoCellAnchor>
    <xdr:from>
      <xdr:col>0</xdr:col>
      <xdr:colOff>624840</xdr:colOff>
      <xdr:row>13</xdr:row>
      <xdr:rowOff>91440</xdr:rowOff>
    </xdr:from>
    <xdr:to>
      <xdr:col>3</xdr:col>
      <xdr:colOff>53340</xdr:colOff>
      <xdr:row>17</xdr:row>
      <xdr:rowOff>121920</xdr:rowOff>
    </xdr:to>
    <xdr:sp macro="" textlink="Sheet5!$C$8">
      <xdr:nvSpPr>
        <xdr:cNvPr id="8" name="Rectangle: Rounded Corners 7">
          <a:extLst>
            <a:ext uri="{FF2B5EF4-FFF2-40B4-BE49-F238E27FC236}">
              <a16:creationId xmlns:a16="http://schemas.microsoft.com/office/drawing/2014/main" id="{4F73B119-63F8-4A6D-9699-19EC649669DC}"/>
            </a:ext>
          </a:extLst>
        </xdr:cNvPr>
        <xdr:cNvSpPr/>
      </xdr:nvSpPr>
      <xdr:spPr>
        <a:xfrm>
          <a:off x="624840" y="2468880"/>
          <a:ext cx="1440180" cy="762000"/>
        </a:xfrm>
        <a:prstGeom prst="roundRect">
          <a:avLst/>
        </a:prstGeom>
        <a:solidFill>
          <a:schemeClr val="accent2"/>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B8DE488-0F1D-41F9-A616-DB07412681FD}" type="TxLink">
            <a:rPr lang="en-US" sz="2400" b="1" i="0" u="none" strike="noStrike">
              <a:solidFill>
                <a:schemeClr val="bg1"/>
              </a:solidFill>
              <a:latin typeface="Aptos"/>
            </a:rPr>
            <a:pPr algn="ctr"/>
            <a:t>89850</a:t>
          </a:fld>
          <a:endParaRPr lang="en-IN" sz="4800" b="1">
            <a:solidFill>
              <a:schemeClr val="bg1"/>
            </a:solidFill>
          </a:endParaRPr>
        </a:p>
      </xdr:txBody>
    </xdr:sp>
    <xdr:clientData/>
  </xdr:twoCellAnchor>
  <xdr:twoCellAnchor>
    <xdr:from>
      <xdr:col>0</xdr:col>
      <xdr:colOff>609600</xdr:colOff>
      <xdr:row>23</xdr:row>
      <xdr:rowOff>144780</xdr:rowOff>
    </xdr:from>
    <xdr:to>
      <xdr:col>3</xdr:col>
      <xdr:colOff>38100</xdr:colOff>
      <xdr:row>27</xdr:row>
      <xdr:rowOff>83820</xdr:rowOff>
    </xdr:to>
    <xdr:sp macro="" textlink="Sheet5!$E$8">
      <xdr:nvSpPr>
        <xdr:cNvPr id="9" name="Rectangle: Rounded Corners 8">
          <a:extLst>
            <a:ext uri="{FF2B5EF4-FFF2-40B4-BE49-F238E27FC236}">
              <a16:creationId xmlns:a16="http://schemas.microsoft.com/office/drawing/2014/main" id="{3FB7F255-CAA1-473D-96D2-43DE6AF1446C}"/>
            </a:ext>
          </a:extLst>
        </xdr:cNvPr>
        <xdr:cNvSpPr/>
      </xdr:nvSpPr>
      <xdr:spPr>
        <a:xfrm>
          <a:off x="609600" y="4351020"/>
          <a:ext cx="1440180" cy="670560"/>
        </a:xfrm>
        <a:prstGeom prst="roundRect">
          <a:avLst/>
        </a:prstGeom>
        <a:solidFill>
          <a:schemeClr val="accent2"/>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DD56B99-BC83-438C-89F0-1CBF094C4DDF}" type="TxLink">
            <a:rPr lang="en-US" sz="2400" b="1" i="0" u="none" strike="noStrike">
              <a:solidFill>
                <a:schemeClr val="bg1"/>
              </a:solidFill>
              <a:latin typeface="Aptos"/>
            </a:rPr>
            <a:pPr algn="ctr"/>
            <a:t>307</a:t>
          </a:fld>
          <a:endParaRPr lang="en-IN" sz="4800" b="1">
            <a:solidFill>
              <a:schemeClr val="bg1"/>
            </a:solidFill>
          </a:endParaRPr>
        </a:p>
      </xdr:txBody>
    </xdr:sp>
    <xdr:clientData/>
  </xdr:twoCellAnchor>
  <xdr:twoCellAnchor>
    <xdr:from>
      <xdr:col>0</xdr:col>
      <xdr:colOff>647700</xdr:colOff>
      <xdr:row>18</xdr:row>
      <xdr:rowOff>160020</xdr:rowOff>
    </xdr:from>
    <xdr:to>
      <xdr:col>3</xdr:col>
      <xdr:colOff>76200</xdr:colOff>
      <xdr:row>22</xdr:row>
      <xdr:rowOff>152400</xdr:rowOff>
    </xdr:to>
    <xdr:sp macro="" textlink="Sheet5!$D$8">
      <xdr:nvSpPr>
        <xdr:cNvPr id="10" name="Rectangle: Rounded Corners 9">
          <a:extLst>
            <a:ext uri="{FF2B5EF4-FFF2-40B4-BE49-F238E27FC236}">
              <a16:creationId xmlns:a16="http://schemas.microsoft.com/office/drawing/2014/main" id="{D13678E8-5B16-4200-BAB8-31CAD46D1B71}"/>
            </a:ext>
          </a:extLst>
        </xdr:cNvPr>
        <xdr:cNvSpPr/>
      </xdr:nvSpPr>
      <xdr:spPr>
        <a:xfrm>
          <a:off x="647700" y="3451860"/>
          <a:ext cx="1440180" cy="723900"/>
        </a:xfrm>
        <a:prstGeom prst="roundRect">
          <a:avLst/>
        </a:prstGeom>
        <a:solidFill>
          <a:schemeClr val="accent2"/>
        </a:solidFill>
        <a:ln>
          <a:solidFill>
            <a:schemeClr val="accent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F6D4414-C180-4844-A3B1-E36AB34F0661}" type="TxLink">
            <a:rPr lang="en-US" sz="2400" b="1" i="0" u="none" strike="noStrike">
              <a:solidFill>
                <a:schemeClr val="bg1"/>
              </a:solidFill>
              <a:latin typeface="Aptos"/>
            </a:rPr>
            <a:pPr algn="ctr"/>
            <a:t>3.9</a:t>
          </a:fld>
          <a:endParaRPr lang="en-IN" sz="4800" b="1">
            <a:solidFill>
              <a:schemeClr val="bg1"/>
            </a:solidFill>
          </a:endParaRPr>
        </a:p>
      </xdr:txBody>
    </xdr:sp>
    <xdr:clientData/>
  </xdr:twoCellAnchor>
  <xdr:twoCellAnchor>
    <xdr:from>
      <xdr:col>1</xdr:col>
      <xdr:colOff>259080</xdr:colOff>
      <xdr:row>5</xdr:row>
      <xdr:rowOff>144780</xdr:rowOff>
    </xdr:from>
    <xdr:to>
      <xdr:col>2</xdr:col>
      <xdr:colOff>449580</xdr:colOff>
      <xdr:row>6</xdr:row>
      <xdr:rowOff>152400</xdr:rowOff>
    </xdr:to>
    <xdr:sp macro="" textlink="">
      <xdr:nvSpPr>
        <xdr:cNvPr id="11" name="TextBox 10">
          <a:extLst>
            <a:ext uri="{FF2B5EF4-FFF2-40B4-BE49-F238E27FC236}">
              <a16:creationId xmlns:a16="http://schemas.microsoft.com/office/drawing/2014/main" id="{5FC9A58C-44F8-58F3-A785-FB027A1FDAF1}"/>
            </a:ext>
          </a:extLst>
        </xdr:cNvPr>
        <xdr:cNvSpPr txBox="1"/>
      </xdr:nvSpPr>
      <xdr:spPr>
        <a:xfrm>
          <a:off x="929640" y="1059180"/>
          <a:ext cx="861060" cy="1905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solidFill>
            </a:rPr>
            <a:t>Calls</a:t>
          </a:r>
        </a:p>
      </xdr:txBody>
    </xdr:sp>
    <xdr:clientData/>
  </xdr:twoCellAnchor>
  <xdr:twoCellAnchor>
    <xdr:from>
      <xdr:col>1</xdr:col>
      <xdr:colOff>160020</xdr:colOff>
      <xdr:row>11</xdr:row>
      <xdr:rowOff>15240</xdr:rowOff>
    </xdr:from>
    <xdr:to>
      <xdr:col>2</xdr:col>
      <xdr:colOff>594360</xdr:colOff>
      <xdr:row>12</xdr:row>
      <xdr:rowOff>0</xdr:rowOff>
    </xdr:to>
    <xdr:sp macro="" textlink="">
      <xdr:nvSpPr>
        <xdr:cNvPr id="14" name="TextBox 13">
          <a:extLst>
            <a:ext uri="{FF2B5EF4-FFF2-40B4-BE49-F238E27FC236}">
              <a16:creationId xmlns:a16="http://schemas.microsoft.com/office/drawing/2014/main" id="{F17906A9-342F-163C-ABA2-063FF675F7B2}"/>
            </a:ext>
          </a:extLst>
        </xdr:cNvPr>
        <xdr:cNvSpPr txBox="1"/>
      </xdr:nvSpPr>
      <xdr:spPr>
        <a:xfrm>
          <a:off x="830580" y="2026920"/>
          <a:ext cx="1104900" cy="16764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bg1"/>
              </a:solidFill>
            </a:rPr>
            <a:t>Amount</a:t>
          </a:r>
        </a:p>
      </xdr:txBody>
    </xdr:sp>
    <xdr:clientData/>
  </xdr:twoCellAnchor>
  <xdr:twoCellAnchor>
    <xdr:from>
      <xdr:col>1</xdr:col>
      <xdr:colOff>190500</xdr:colOff>
      <xdr:row>16</xdr:row>
      <xdr:rowOff>0</xdr:rowOff>
    </xdr:from>
    <xdr:to>
      <xdr:col>2</xdr:col>
      <xdr:colOff>510540</xdr:colOff>
      <xdr:row>16</xdr:row>
      <xdr:rowOff>160020</xdr:rowOff>
    </xdr:to>
    <xdr:sp macro="" textlink="">
      <xdr:nvSpPr>
        <xdr:cNvPr id="15" name="TextBox 14">
          <a:extLst>
            <a:ext uri="{FF2B5EF4-FFF2-40B4-BE49-F238E27FC236}">
              <a16:creationId xmlns:a16="http://schemas.microsoft.com/office/drawing/2014/main" id="{2E0AA6FA-F815-589E-4635-B15DF106CE2E}"/>
            </a:ext>
          </a:extLst>
        </xdr:cNvPr>
        <xdr:cNvSpPr txBox="1"/>
      </xdr:nvSpPr>
      <xdr:spPr>
        <a:xfrm>
          <a:off x="861060" y="2926080"/>
          <a:ext cx="990600" cy="16002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bg1"/>
              </a:solidFill>
            </a:rPr>
            <a:t>Duration</a:t>
          </a:r>
        </a:p>
      </xdr:txBody>
    </xdr:sp>
    <xdr:clientData/>
  </xdr:twoCellAnchor>
  <xdr:twoCellAnchor>
    <xdr:from>
      <xdr:col>1</xdr:col>
      <xdr:colOff>144780</xdr:colOff>
      <xdr:row>21</xdr:row>
      <xdr:rowOff>45720</xdr:rowOff>
    </xdr:from>
    <xdr:to>
      <xdr:col>2</xdr:col>
      <xdr:colOff>579120</xdr:colOff>
      <xdr:row>22</xdr:row>
      <xdr:rowOff>76200</xdr:rowOff>
    </xdr:to>
    <xdr:sp macro="" textlink="">
      <xdr:nvSpPr>
        <xdr:cNvPr id="16" name="TextBox 15">
          <a:extLst>
            <a:ext uri="{FF2B5EF4-FFF2-40B4-BE49-F238E27FC236}">
              <a16:creationId xmlns:a16="http://schemas.microsoft.com/office/drawing/2014/main" id="{4491D32D-76BC-AFC5-39D3-AFCD83728603}"/>
            </a:ext>
          </a:extLst>
        </xdr:cNvPr>
        <xdr:cNvSpPr txBox="1"/>
      </xdr:nvSpPr>
      <xdr:spPr>
        <a:xfrm>
          <a:off x="815340" y="3886200"/>
          <a:ext cx="1104900" cy="21336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solidFill>
            </a:rPr>
            <a:t>Ratings</a:t>
          </a:r>
        </a:p>
      </xdr:txBody>
    </xdr:sp>
    <xdr:clientData/>
  </xdr:twoCellAnchor>
  <xdr:twoCellAnchor>
    <xdr:from>
      <xdr:col>1</xdr:col>
      <xdr:colOff>137160</xdr:colOff>
      <xdr:row>26</xdr:row>
      <xdr:rowOff>38100</xdr:rowOff>
    </xdr:from>
    <xdr:to>
      <xdr:col>2</xdr:col>
      <xdr:colOff>548640</xdr:colOff>
      <xdr:row>27</xdr:row>
      <xdr:rowOff>38100</xdr:rowOff>
    </xdr:to>
    <xdr:sp macro="" textlink="">
      <xdr:nvSpPr>
        <xdr:cNvPr id="17" name="TextBox 16">
          <a:extLst>
            <a:ext uri="{FF2B5EF4-FFF2-40B4-BE49-F238E27FC236}">
              <a16:creationId xmlns:a16="http://schemas.microsoft.com/office/drawing/2014/main" id="{57956CFF-378E-EA14-B619-63C819D34EB0}"/>
            </a:ext>
          </a:extLst>
        </xdr:cNvPr>
        <xdr:cNvSpPr txBox="1"/>
      </xdr:nvSpPr>
      <xdr:spPr>
        <a:xfrm>
          <a:off x="807720" y="4792980"/>
          <a:ext cx="1082040" cy="18288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solidFill>
            </a:rPr>
            <a:t>5* Calls</a:t>
          </a:r>
        </a:p>
      </xdr:txBody>
    </xdr:sp>
    <xdr:clientData/>
  </xdr:twoCellAnchor>
  <xdr:twoCellAnchor>
    <xdr:from>
      <xdr:col>3</xdr:col>
      <xdr:colOff>335280</xdr:colOff>
      <xdr:row>19</xdr:row>
      <xdr:rowOff>150222</xdr:rowOff>
    </xdr:from>
    <xdr:to>
      <xdr:col>7</xdr:col>
      <xdr:colOff>76200</xdr:colOff>
      <xdr:row>34</xdr:row>
      <xdr:rowOff>150222</xdr:rowOff>
    </xdr:to>
    <xdr:graphicFrame macro="">
      <xdr:nvGraphicFramePr>
        <xdr:cNvPr id="20" name="Chart 19">
          <a:extLst>
            <a:ext uri="{FF2B5EF4-FFF2-40B4-BE49-F238E27FC236}">
              <a16:creationId xmlns:a16="http://schemas.microsoft.com/office/drawing/2014/main" id="{8645F377-7A20-4A4A-A553-EC9F5ED93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74024</xdr:colOff>
      <xdr:row>19</xdr:row>
      <xdr:rowOff>152401</xdr:rowOff>
    </xdr:from>
    <xdr:to>
      <xdr:col>10</xdr:col>
      <xdr:colOff>435429</xdr:colOff>
      <xdr:row>35</xdr:row>
      <xdr:rowOff>16329</xdr:rowOff>
    </xdr:to>
    <xdr:graphicFrame macro="">
      <xdr:nvGraphicFramePr>
        <xdr:cNvPr id="21" name="Chart 20">
          <a:extLst>
            <a:ext uri="{FF2B5EF4-FFF2-40B4-BE49-F238E27FC236}">
              <a16:creationId xmlns:a16="http://schemas.microsoft.com/office/drawing/2014/main" id="{03C778A1-4A45-4EA7-97B4-CBE3D4E7B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195943</xdr:colOff>
      <xdr:row>5</xdr:row>
      <xdr:rowOff>163284</xdr:rowOff>
    </xdr:from>
    <xdr:to>
      <xdr:col>23</xdr:col>
      <xdr:colOff>54428</xdr:colOff>
      <xdr:row>21</xdr:row>
      <xdr:rowOff>76200</xdr:rowOff>
    </xdr:to>
    <xdr:graphicFrame macro="">
      <xdr:nvGraphicFramePr>
        <xdr:cNvPr id="25" name="Chart 24">
          <a:extLst>
            <a:ext uri="{FF2B5EF4-FFF2-40B4-BE49-F238E27FC236}">
              <a16:creationId xmlns:a16="http://schemas.microsoft.com/office/drawing/2014/main" id="{06404637-6CBD-4273-B52F-D6DEEF62D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424544</xdr:colOff>
      <xdr:row>5</xdr:row>
      <xdr:rowOff>141515</xdr:rowOff>
    </xdr:from>
    <xdr:to>
      <xdr:col>10</xdr:col>
      <xdr:colOff>337458</xdr:colOff>
      <xdr:row>17</xdr:row>
      <xdr:rowOff>108857</xdr:rowOff>
    </xdr:to>
    <xdr:graphicFrame macro="">
      <xdr:nvGraphicFramePr>
        <xdr:cNvPr id="28" name="Chart 27">
          <a:extLst>
            <a:ext uri="{FF2B5EF4-FFF2-40B4-BE49-F238E27FC236}">
              <a16:creationId xmlns:a16="http://schemas.microsoft.com/office/drawing/2014/main" id="{92AA686E-5D7F-447F-8D86-7C276101F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185057</xdr:colOff>
      <xdr:row>12</xdr:row>
      <xdr:rowOff>130628</xdr:rowOff>
    </xdr:from>
    <xdr:to>
      <xdr:col>25</xdr:col>
      <xdr:colOff>576942</xdr:colOff>
      <xdr:row>21</xdr:row>
      <xdr:rowOff>54428</xdr:rowOff>
    </xdr:to>
    <xdr:graphicFrame macro="">
      <xdr:nvGraphicFramePr>
        <xdr:cNvPr id="31" name="Chart 30">
          <a:extLst>
            <a:ext uri="{FF2B5EF4-FFF2-40B4-BE49-F238E27FC236}">
              <a16:creationId xmlns:a16="http://schemas.microsoft.com/office/drawing/2014/main" id="{BEBB94D7-C532-4954-9FCA-E898AA116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208641</xdr:colOff>
      <xdr:row>1</xdr:row>
      <xdr:rowOff>101601</xdr:rowOff>
    </xdr:from>
    <xdr:to>
      <xdr:col>26</xdr:col>
      <xdr:colOff>6893</xdr:colOff>
      <xdr:row>11</xdr:row>
      <xdr:rowOff>156030</xdr:rowOff>
    </xdr:to>
    <mc:AlternateContent xmlns:mc="http://schemas.openxmlformats.org/markup-compatibility/2006" xmlns:a14="http://schemas.microsoft.com/office/drawing/2010/main">
      <mc:Choice Requires="a14">
        <xdr:graphicFrame macro="">
          <xdr:nvGraphicFramePr>
            <xdr:cNvPr id="32" name="Representative 5">
              <a:extLst>
                <a:ext uri="{FF2B5EF4-FFF2-40B4-BE49-F238E27FC236}">
                  <a16:creationId xmlns:a16="http://schemas.microsoft.com/office/drawing/2014/main" id="{FA05D957-8D8B-49F5-88E9-FADDA1827464}"/>
                </a:ext>
              </a:extLst>
            </xdr:cNvPr>
            <xdr:cNvGraphicFramePr/>
          </xdr:nvGraphicFramePr>
          <xdr:xfrm>
            <a:off x="0" y="0"/>
            <a:ext cx="0" cy="0"/>
          </xdr:xfrm>
          <a:graphic>
            <a:graphicData uri="http://schemas.microsoft.com/office/drawing/2010/slicer">
              <sle:slicer xmlns:sle="http://schemas.microsoft.com/office/drawing/2010/slicer" name="Representative 5"/>
            </a:graphicData>
          </a:graphic>
        </xdr:graphicFrame>
      </mc:Choice>
      <mc:Fallback xmlns="">
        <xdr:sp macro="" textlink="">
          <xdr:nvSpPr>
            <xdr:cNvPr id="0" name=""/>
            <xdr:cNvSpPr>
              <a:spLocks noTextEdit="1"/>
            </xdr:cNvSpPr>
          </xdr:nvSpPr>
          <xdr:spPr>
            <a:xfrm>
              <a:off x="15731670" y="286658"/>
              <a:ext cx="1822994" cy="1915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141514</xdr:colOff>
      <xdr:row>22</xdr:row>
      <xdr:rowOff>108857</xdr:rowOff>
    </xdr:from>
    <xdr:to>
      <xdr:col>26</xdr:col>
      <xdr:colOff>163285</xdr:colOff>
      <xdr:row>38</xdr:row>
      <xdr:rowOff>32657</xdr:rowOff>
    </xdr:to>
    <xdr:graphicFrame macro="">
      <xdr:nvGraphicFramePr>
        <xdr:cNvPr id="33" name="Chart 32">
          <a:extLst>
            <a:ext uri="{FF2B5EF4-FFF2-40B4-BE49-F238E27FC236}">
              <a16:creationId xmlns:a16="http://schemas.microsoft.com/office/drawing/2014/main" id="{D250DD9E-A210-4D6B-8709-8B856625A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697230</xdr:colOff>
      <xdr:row>8</xdr:row>
      <xdr:rowOff>133350</xdr:rowOff>
    </xdr:from>
    <xdr:to>
      <xdr:col>9</xdr:col>
      <xdr:colOff>651510</xdr:colOff>
      <xdr:row>23</xdr:row>
      <xdr:rowOff>133350</xdr:rowOff>
    </xdr:to>
    <xdr:graphicFrame macro="">
      <xdr:nvGraphicFramePr>
        <xdr:cNvPr id="2" name="Chart 1">
          <a:extLst>
            <a:ext uri="{FF2B5EF4-FFF2-40B4-BE49-F238E27FC236}">
              <a16:creationId xmlns:a16="http://schemas.microsoft.com/office/drawing/2014/main" id="{BA259F99-CB39-6C78-9648-E3BC8C0CA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396240</xdr:colOff>
      <xdr:row>13</xdr:row>
      <xdr:rowOff>41910</xdr:rowOff>
    </xdr:from>
    <xdr:to>
      <xdr:col>10</xdr:col>
      <xdr:colOff>354330</xdr:colOff>
      <xdr:row>28</xdr:row>
      <xdr:rowOff>41910</xdr:rowOff>
    </xdr:to>
    <xdr:graphicFrame macro="">
      <xdr:nvGraphicFramePr>
        <xdr:cNvPr id="3" name="Chart 2">
          <a:extLst>
            <a:ext uri="{FF2B5EF4-FFF2-40B4-BE49-F238E27FC236}">
              <a16:creationId xmlns:a16="http://schemas.microsoft.com/office/drawing/2014/main" id="{5609DAEB-5B5F-A0CC-9E0E-194F0E6C6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396240</xdr:colOff>
      <xdr:row>13</xdr:row>
      <xdr:rowOff>22860</xdr:rowOff>
    </xdr:from>
    <xdr:to>
      <xdr:col>14</xdr:col>
      <xdr:colOff>472440</xdr:colOff>
      <xdr:row>28</xdr:row>
      <xdr:rowOff>22860</xdr:rowOff>
    </xdr:to>
    <xdr:graphicFrame macro="">
      <xdr:nvGraphicFramePr>
        <xdr:cNvPr id="4" name="Chart 3">
          <a:extLst>
            <a:ext uri="{FF2B5EF4-FFF2-40B4-BE49-F238E27FC236}">
              <a16:creationId xmlns:a16="http://schemas.microsoft.com/office/drawing/2014/main" id="{1A0CBC56-CFB9-44A3-AE35-CEEA5995E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274320</xdr:colOff>
      <xdr:row>15</xdr:row>
      <xdr:rowOff>106680</xdr:rowOff>
    </xdr:from>
    <xdr:to>
      <xdr:col>6</xdr:col>
      <xdr:colOff>91440</xdr:colOff>
      <xdr:row>29</xdr:row>
      <xdr:rowOff>127635</xdr:rowOff>
    </xdr:to>
    <mc:AlternateContent xmlns:mc="http://schemas.openxmlformats.org/markup-compatibility/2006" xmlns:a14="http://schemas.microsoft.com/office/drawing/2010/main">
      <mc:Choice Requires="a14">
        <xdr:graphicFrame macro="">
          <xdr:nvGraphicFramePr>
            <xdr:cNvPr id="5" name="Representative 2">
              <a:extLst>
                <a:ext uri="{FF2B5EF4-FFF2-40B4-BE49-F238E27FC236}">
                  <a16:creationId xmlns:a16="http://schemas.microsoft.com/office/drawing/2014/main" id="{770CF5ED-B5F0-5E58-E609-A0ADEBB7266C}"/>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2811780" y="2849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472440</xdr:colOff>
      <xdr:row>4</xdr:row>
      <xdr:rowOff>114300</xdr:rowOff>
    </xdr:from>
    <xdr:to>
      <xdr:col>12</xdr:col>
      <xdr:colOff>289560</xdr:colOff>
      <xdr:row>18</xdr:row>
      <xdr:rowOff>135255</xdr:rowOff>
    </xdr:to>
    <mc:AlternateContent xmlns:mc="http://schemas.openxmlformats.org/markup-compatibility/2006" xmlns:a14="http://schemas.microsoft.com/office/drawing/2010/main">
      <mc:Choice Requires="a14">
        <xdr:graphicFrame macro="">
          <xdr:nvGraphicFramePr>
            <xdr:cNvPr id="4" name="Representative 3">
              <a:extLst>
                <a:ext uri="{FF2B5EF4-FFF2-40B4-BE49-F238E27FC236}">
                  <a16:creationId xmlns:a16="http://schemas.microsoft.com/office/drawing/2014/main" id="{A02F0D8F-EEB1-A84D-CFFC-93019620A8EA}"/>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8656320" y="845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819150</xdr:colOff>
      <xdr:row>8</xdr:row>
      <xdr:rowOff>133350</xdr:rowOff>
    </xdr:from>
    <xdr:to>
      <xdr:col>8</xdr:col>
      <xdr:colOff>300990</xdr:colOff>
      <xdr:row>23</xdr:row>
      <xdr:rowOff>133350</xdr:rowOff>
    </xdr:to>
    <xdr:graphicFrame macro="">
      <xdr:nvGraphicFramePr>
        <xdr:cNvPr id="5" name="Chart 4">
          <a:extLst>
            <a:ext uri="{FF2B5EF4-FFF2-40B4-BE49-F238E27FC236}">
              <a16:creationId xmlns:a16="http://schemas.microsoft.com/office/drawing/2014/main" id="{314636C9-A039-34DF-845E-54A74B827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247650</xdr:colOff>
      <xdr:row>8</xdr:row>
      <xdr:rowOff>137160</xdr:rowOff>
    </xdr:from>
    <xdr:to>
      <xdr:col>11</xdr:col>
      <xdr:colOff>125730</xdr:colOff>
      <xdr:row>23</xdr:row>
      <xdr:rowOff>137160</xdr:rowOff>
    </xdr:to>
    <xdr:graphicFrame macro="">
      <xdr:nvGraphicFramePr>
        <xdr:cNvPr id="3" name="Chart 2">
          <a:extLst>
            <a:ext uri="{FF2B5EF4-FFF2-40B4-BE49-F238E27FC236}">
              <a16:creationId xmlns:a16="http://schemas.microsoft.com/office/drawing/2014/main" id="{C11CE54E-0DD0-2B2B-81B8-5BBCA9C1A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617220</xdr:colOff>
      <xdr:row>12</xdr:row>
      <xdr:rowOff>91440</xdr:rowOff>
    </xdr:from>
    <xdr:to>
      <xdr:col>3</xdr:col>
      <xdr:colOff>121920</xdr:colOff>
      <xdr:row>26</xdr:row>
      <xdr:rowOff>112395</xdr:rowOff>
    </xdr:to>
    <mc:AlternateContent xmlns:mc="http://schemas.openxmlformats.org/markup-compatibility/2006" xmlns:a14="http://schemas.microsoft.com/office/drawing/2010/main">
      <mc:Choice Requires="a14">
        <xdr:graphicFrame macro="">
          <xdr:nvGraphicFramePr>
            <xdr:cNvPr id="4" name="Representative 4">
              <a:extLst>
                <a:ext uri="{FF2B5EF4-FFF2-40B4-BE49-F238E27FC236}">
                  <a16:creationId xmlns:a16="http://schemas.microsoft.com/office/drawing/2014/main" id="{D9B78184-6340-5119-FB8E-AA1F3034D39B}"/>
                </a:ext>
              </a:extLst>
            </xdr:cNvPr>
            <xdr:cNvGraphicFramePr/>
          </xdr:nvGraphicFramePr>
          <xdr:xfrm>
            <a:off x="0" y="0"/>
            <a:ext cx="0" cy="0"/>
          </xdr:xfrm>
          <a:graphic>
            <a:graphicData uri="http://schemas.microsoft.com/office/drawing/2010/slicer">
              <sle:slicer xmlns:sle="http://schemas.microsoft.com/office/drawing/2010/slicer" name="Representative 4"/>
            </a:graphicData>
          </a:graphic>
        </xdr:graphicFrame>
      </mc:Choice>
      <mc:Fallback xmlns="">
        <xdr:sp macro="" textlink="">
          <xdr:nvSpPr>
            <xdr:cNvPr id="0" name=""/>
            <xdr:cNvSpPr>
              <a:spLocks noTextEdit="1"/>
            </xdr:cNvSpPr>
          </xdr:nvSpPr>
          <xdr:spPr>
            <a:xfrm>
              <a:off x="617220" y="2286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659130</xdr:colOff>
      <xdr:row>8</xdr:row>
      <xdr:rowOff>133350</xdr:rowOff>
    </xdr:from>
    <xdr:to>
      <xdr:col>18</xdr:col>
      <xdr:colOff>34290</xdr:colOff>
      <xdr:row>23</xdr:row>
      <xdr:rowOff>133350</xdr:rowOff>
    </xdr:to>
    <xdr:graphicFrame macro="">
      <xdr:nvGraphicFramePr>
        <xdr:cNvPr id="3" name="Chart 2">
          <a:extLst>
            <a:ext uri="{FF2B5EF4-FFF2-40B4-BE49-F238E27FC236}">
              <a16:creationId xmlns:a16="http://schemas.microsoft.com/office/drawing/2014/main" id="{BF9632E7-E71F-3D8D-5649-29AACABE5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73.862530787039" backgroundQuery="1" createdVersion="8" refreshedVersion="8" minRefreshableVersion="3" recordCount="0" supportSubquery="1" supportAdvancedDrill="1" xr:uid="{9321D8C5-B263-4459-8470-593098B2033C}">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73.862531365739" backgroundQuery="1" createdVersion="8" refreshedVersion="8" minRefreshableVersion="3" recordCount="0" supportSubquery="1" supportAdvancedDrill="1" xr:uid="{EE3298CA-B603-43DC-8BEB-E400376A5BD5}">
  <cacheSource type="external" connectionId="1"/>
  <cacheFields count="2">
    <cacheField name="[calls].[Representative].[Representative]" caption="Representative" numFmtId="0" hierarchy="3" level="1">
      <sharedItems count="5">
        <s v="R01"/>
        <s v="R02"/>
        <s v="R03"/>
        <s v="R04"/>
        <s v="R05"/>
      </sharedItems>
    </cacheField>
    <cacheField name="[Measures].[Sum of Rating rounded]" caption="Sum of Rating rounded" numFmtId="0" hierarchy="28"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Rating rounded]" caption="Sum of Rating rounded" measure="1" displayFolder="" measureGroup="call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73.862532870371" backgroundQuery="1" createdVersion="8" refreshedVersion="8" minRefreshableVersion="3" recordCount="0" supportSubquery="1" supportAdvancedDrill="1" xr:uid="{B8AF1E60-4E9C-47CC-AE85-7CE16669A8F8}">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73.862534143518" backgroundQuery="1" createdVersion="8" refreshedVersion="8" minRefreshableVersion="3" recordCount="0" supportSubquery="1" supportAdvancedDrill="1" xr:uid="{E618E8B6-700A-408C-ADB3-19C232FF194D}">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73.862535185188" backgroundQuery="1" createdVersion="8" refreshedVersion="8" minRefreshableVersion="3" recordCount="0" supportSubquery="1" supportAdvancedDrill="1" xr:uid="{EB734A51-CB4B-4BCC-B5D0-2EEA0D72091F}">
  <cacheSource type="external" connectionId="1"/>
  <cacheFields count="5">
    <cacheField name="[Measures].[Call Count]" caption="Call Count" numFmtId="0" hierarchy="17" level="32767"/>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 name="Unsupported0" numFmtId="0" hierarchy="31" level="32767">
      <extLst>
        <ext xmlns:x14="http://schemas.microsoft.com/office/spreadsheetml/2009/9/main" uri="{63CAB8AC-B538-458d-9737-405883B0398D}">
          <x14:cacheField ignore="1"/>
        </ext>
      </extLst>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73.862535995373" backgroundQuery="1" createdVersion="8" refreshedVersion="8" minRefreshableVersion="3" recordCount="0" supportSubquery="1" supportAdvancedDrill="1" xr:uid="{919BC6DD-EBB6-40C5-921A-E2E169B46244}">
  <cacheSource type="external" connectionId="1"/>
  <cacheFields count="1">
    <cacheField name="[calls].[Representative].[Representative]" caption="Representative" numFmtId="0" hierarchy="3" level="1">
      <sharedItems count="5">
        <s v="R01"/>
        <s v="R02"/>
        <s v="R03"/>
        <s v="R04"/>
        <s v="R05"/>
      </sharedItems>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73.862536458335" backgroundQuery="1" createdVersion="8" refreshedVersion="8" minRefreshableVersion="3" recordCount="0" supportSubquery="1" supportAdvancedDrill="1" xr:uid="{AB833100-8D01-49E2-9E05-C1517A85453E}">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73.862537037036" backgroundQuery="1" createdVersion="8" refreshedVersion="8" minRefreshableVersion="3" recordCount="0" supportSubquery="1" supportAdvancedDrill="1" xr:uid="{7E79FCCC-4647-4748-B80F-C3B87DE405B4}">
  <cacheSource type="external" connectionId="1"/>
  <cacheFields count="4">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N" refreshedDate="46273.857518055556" backgroundQuery="1" createdVersion="3" refreshedVersion="8" minRefreshableVersion="3" recordCount="0" supportSubquery="1" supportAdvancedDrill="1" xr:uid="{897CFFBE-5A3B-4379-8AE2-4917531AF53C}">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Average of Rating rounded]" caption="Average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20864761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22330-B17B-4696-8AA9-88ECB5762435}" name="Rep_Pivot" cacheId="4" applyNumberFormats="0" applyBorderFormats="0" applyFontFormats="0" applyPatternFormats="0" applyAlignmentFormats="0" applyWidthHeightFormats="1" dataCaption="Values" tag="f7e1941a-fea1-4aa6-9241-c958cef5d8af"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0DF52-6BDF-426A-9A41-2942E3865AAD}" name="Summary" cacheId="6" applyNumberFormats="0" applyBorderFormats="0" applyFontFormats="0" applyPatternFormats="0" applyAlignmentFormats="0" applyWidthHeightFormats="1" dataCaption="Values" tag="12161090-332f-4af4-9725-97c34028b02a"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EE1177-B768-4FFB-A5E3-B7C323F09A16}" name="PivotTable6" cacheId="7" applyNumberFormats="0" applyBorderFormats="0" applyFontFormats="0" applyPatternFormats="0" applyAlignmentFormats="0" applyWidthHeightFormats="1" dataCaption="Values" tag="ccb06bfc-6b80-4d3d-965d-9f083823d743" updatedVersion="8" minRefreshableVersion="3" useAutoFormatting="1" subtotalHiddenItems="1" itemPrintTitles="1" createdVersion="8" indent="0" outline="1" outlineData="1" multipleFieldFilters="0" chartFormat="55">
  <location ref="A3:C16" firstHeaderRow="0" firstDataRow="1" firstDataCol="1"/>
  <pivotFields count="5">
    <pivotField dataField="1" subtotalTop="0" showAll="0" defaultSubtotal="0"/>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51" format="4" series="1">
      <pivotArea type="data" outline="0" fieldPosition="0">
        <references count="1">
          <reference field="4294967294" count="1" selected="0">
            <x v="1"/>
          </reference>
        </references>
      </pivotArea>
    </chartFormat>
    <chartFormat chart="51" format="5"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566F4E-73B4-43BC-A8BF-E7000801A1C9}" name="Represntative" cacheId="8" applyNumberFormats="0" applyBorderFormats="0" applyFontFormats="0" applyPatternFormats="0" applyAlignmentFormats="0" applyWidthHeightFormats="1" dataCaption="Values" tag="d2f3560b-2bde-4e12-91b5-47b49d9f5063" updatedVersion="8" minRefreshableVersion="3" useAutoFormatting="1" subtotalHiddenItems="1" itemPrintTitles="1" createdVersion="8" indent="0" outline="1" outlineData="1" multipleFieldFilters="0" chartFormat="4">
  <location ref="A12:A18" firstHeaderRow="1" firstDataRow="1" firstDataCol="1"/>
  <pivotFields count="1">
    <pivotField axis="axisRow" allDrilled="1" showAll="0" dataSourceSort="1" defaultAttributeDrillState="1">
      <items count="6">
        <item x="0"/>
        <item x="1"/>
        <item x="2"/>
        <item x="3"/>
        <item x="4"/>
        <item t="default"/>
      </items>
    </pivotField>
  </pivotFields>
  <rowFields count="1">
    <field x="0"/>
  </rowFields>
  <rowItems count="6">
    <i>
      <x/>
    </i>
    <i>
      <x v="1"/>
    </i>
    <i>
      <x v="2"/>
    </i>
    <i>
      <x v="3"/>
    </i>
    <i>
      <x v="4"/>
    </i>
    <i t="grand">
      <x/>
    </i>
  </rowItem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A70FF1-8C03-4C61-99EC-4E1873985437}" name="SelectedTable" cacheId="9" applyNumberFormats="0" applyBorderFormats="0" applyFontFormats="0" applyPatternFormats="0" applyAlignmentFormats="0" applyWidthHeightFormats="1" dataCaption="Values" tag="95e81818-e846-4c13-9993-c393297ce4dc" updatedVersion="8" minRefreshableVersion="3" useAutoFormatting="1" subtotalHiddenItems="1" itemPrintTitles="1" createdVersion="8" indent="0" outline="1" outlineData="1" multipleFieldFilters="0" chartFormat="4">
  <location ref="A3:C9" firstHeaderRow="0" firstDataRow="1" firstDataCol="1"/>
  <pivotFields count="3">
    <pivotField axis="axisRow" allDrilled="1" showAll="0" dataSourceSort="1" defaultAttributeDrillState="1">
      <items count="6">
        <item x="0"/>
        <item x="1"/>
        <item x="2"/>
        <item x="3"/>
        <item x="4"/>
        <item t="default"/>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65B878-31DE-4451-8AF1-CB3353DAC6B9}" name="PivotTable16" cacheId="2" applyNumberFormats="0" applyBorderFormats="0" applyFontFormats="0" applyPatternFormats="0" applyAlignmentFormats="0" applyWidthHeightFormats="1" dataCaption="Values" tag="d028ad99-2d48-4c05-87b6-48d7a28a038e" updatedVersion="8" minRefreshableVersion="3" useAutoFormatting="1" subtotalHiddenItems="1" itemPrintTitles="1" createdVersion="8" indent="0" outline="1" outlineData="1" multipleFieldFilters="0" chartFormat="34">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ating rounded" fld="1" baseField="0" baseItem="0"/>
  </dataFields>
  <chartFormats count="4">
    <chartFormat chart="9"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6CB9CB-3357-409C-BFE8-2DF0B42CCF3F}" name="PivotTable18" cacheId="1" applyNumberFormats="0" applyBorderFormats="0" applyFontFormats="0" applyPatternFormats="0" applyAlignmentFormats="0" applyWidthHeightFormats="1" dataCaption="Values" tag="3ef4e94d-be0e-4200-a4d1-f819264492df" updatedVersion="8" minRefreshableVersion="3" useAutoFormatting="1" subtotalHiddenItems="1" itemPrintTitles="1" createdVersion="8" indent="0" outline="1" outlineData="1" multipleFieldFilters="0" chartFormat="33">
  <location ref="A3:B11" firstHeaderRow="1" firstDataRow="1" firstDataCol="1"/>
  <pivotFields count="3">
    <pivotField axis="axisRow" allDrilled="1" showAll="0" dataSourceSort="1" defaultAttributeDrillState="1">
      <items count="8">
        <item x="0"/>
        <item x="1"/>
        <item x="2"/>
        <item x="3"/>
        <item x="4"/>
        <item x="5"/>
        <item x="6"/>
        <item t="default"/>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1EFA11-59D3-4875-A564-E8299C48FC8A}" name="PivotTable20" cacheId="10" applyNumberFormats="0" applyBorderFormats="0" applyFontFormats="0" applyPatternFormats="0" applyAlignmentFormats="0" applyWidthHeightFormats="1" dataCaption="Values" tag="b71ad49a-b08c-4c3d-bdb4-b68b713a6873" updatedVersion="8" minRefreshableVersion="3" useAutoFormatting="1" subtotalHiddenItems="1" itemPrintTitles="1" createdVersion="8" indent="0" outline="1" outlineData="1" multipleFieldFilters="0" chartFormat="21">
  <location ref="A3:D8"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6">
    <chartFormat chart="13" format="0" series="1">
      <pivotArea type="data" outline="0" fieldPosition="0">
        <references count="2">
          <reference field="4294967294" count="1" selected="0">
            <x v="0"/>
          </reference>
          <reference field="0" count="1" selected="0">
            <x v="0"/>
          </reference>
        </references>
      </pivotArea>
    </chartFormat>
    <chartFormat chart="13" format="1" series="1">
      <pivotArea type="data" outline="0" fieldPosition="0">
        <references count="2">
          <reference field="4294967294" count="1" selected="0">
            <x v="0"/>
          </reference>
          <reference field="0" count="1" selected="0">
            <x v="1"/>
          </reference>
        </references>
      </pivotArea>
    </chartFormat>
    <chartFormat chart="14" format="2" series="1">
      <pivotArea type="data" outline="0" fieldPosition="0">
        <references count="2">
          <reference field="4294967294" count="1" selected="0">
            <x v="0"/>
          </reference>
          <reference field="0" count="1" selected="0">
            <x v="0"/>
          </reference>
        </references>
      </pivotArea>
    </chartFormat>
    <chartFormat chart="14" format="3" series="1">
      <pivotArea type="data" outline="0" fieldPosition="0">
        <references count="2">
          <reference field="4294967294" count="1" selected="0">
            <x v="0"/>
          </reference>
          <reference field="0" count="1" selected="0">
            <x v="1"/>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AB1F365C-84CC-4C30-A30F-3AAF1ED5F421}" sourceName="[calls].[Representative]">
  <pivotTables>
    <pivotTable tabId="23" name="PivotTable18"/>
    <pivotTable tabId="21" name="PivotTable16"/>
    <pivotTable tabId="9" name="Rep_Pivot"/>
    <pivotTable tabId="9" name="Summary"/>
    <pivotTable tabId="13" name="PivotTable6"/>
    <pivotTable tabId="15" name="Represntative"/>
    <pivotTable tabId="15" name="SelectedTable"/>
    <pivotTable tabId="25" name="PivotTable20"/>
  </pivotTables>
  <data>
    <olap pivotCacheId="208647612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A812840C-6CAB-4A37-8F5C-B9E2AA03C1BB}"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5" xr10:uid="{5C534582-7F0F-49F9-B705-7C1DF6E41F83}" cache="Slicer_Representative" caption="Representative"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D9B7BA9F-D1A9-4CC6-8BB4-1B90426A89E5}" cache="Slicer_Representative" caption="Representativ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D4213800-E9BC-432F-BCA2-315D58D1FE00}" cache="Slicer_Representative" caption="Representative"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4" xr10:uid="{7275B704-47E5-44E0-9F72-477B07550825}"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86A6-C34D-4F37-9192-D54D003928DC}">
  <dimension ref="A1:C12"/>
  <sheetViews>
    <sheetView workbookViewId="0"/>
  </sheetViews>
  <sheetFormatPr defaultRowHeight="14.4" x14ac:dyDescent="0.3"/>
  <cols>
    <col min="1" max="1" width="15.09765625" bestFit="1" customWidth="1"/>
    <col min="2" max="2" width="5" bestFit="1" customWidth="1"/>
    <col min="3" max="3" width="7.69921875" bestFit="1" customWidth="1"/>
  </cols>
  <sheetData>
    <row r="1" spans="1:3" x14ac:dyDescent="0.3">
      <c r="A1" s="20" t="s">
        <v>1040</v>
      </c>
    </row>
    <row r="2" spans="1:3" x14ac:dyDescent="0.3">
      <c r="A2" s="21" t="s">
        <v>1041</v>
      </c>
      <c r="B2" s="21" t="s">
        <v>1042</v>
      </c>
      <c r="C2" s="21" t="s">
        <v>1043</v>
      </c>
    </row>
    <row r="4" spans="1:3" x14ac:dyDescent="0.3">
      <c r="A4" s="20" t="s">
        <v>1044</v>
      </c>
    </row>
    <row r="5" spans="1:3" x14ac:dyDescent="0.3">
      <c r="A5" s="21" t="s">
        <v>1041</v>
      </c>
      <c r="B5" s="21" t="s">
        <v>1045</v>
      </c>
      <c r="C5" s="21" t="s">
        <v>1043</v>
      </c>
    </row>
    <row r="8" spans="1:3" x14ac:dyDescent="0.3">
      <c r="A8" s="20" t="s">
        <v>1046</v>
      </c>
      <c r="B8" t="s">
        <v>1047</v>
      </c>
    </row>
    <row r="9" spans="1:3" x14ac:dyDescent="0.3">
      <c r="B9" t="s">
        <v>1048</v>
      </c>
    </row>
    <row r="11" spans="1:3" x14ac:dyDescent="0.3">
      <c r="B11" t="s">
        <v>1049</v>
      </c>
    </row>
    <row r="12" spans="1:3" x14ac:dyDescent="0.3">
      <c r="B12" t="s">
        <v>1050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592B-E827-477B-A4E9-80A44826B90C}">
  <dimension ref="A3:E8"/>
  <sheetViews>
    <sheetView workbookViewId="0">
      <selection activeCell="A4" sqref="A4"/>
    </sheetView>
  </sheetViews>
  <sheetFormatPr defaultRowHeight="14.4" x14ac:dyDescent="0.3"/>
  <cols>
    <col min="1" max="1" width="9.5" bestFit="1" customWidth="1"/>
    <col min="2" max="2" width="11.59765625" bestFit="1" customWidth="1"/>
    <col min="3" max="3" width="12.3984375" bestFit="1" customWidth="1"/>
    <col min="4" max="4" width="13.09765625" bestFit="1" customWidth="1"/>
    <col min="5" max="5" width="7.296875" bestFit="1" customWidth="1"/>
  </cols>
  <sheetData>
    <row r="3" spans="1:5" x14ac:dyDescent="0.3">
      <c r="A3" t="s">
        <v>1051</v>
      </c>
      <c r="B3" t="s">
        <v>1052</v>
      </c>
      <c r="C3" t="s">
        <v>1053</v>
      </c>
      <c r="D3" t="s">
        <v>1054</v>
      </c>
      <c r="E3" t="s">
        <v>1055</v>
      </c>
    </row>
    <row r="4" spans="1:5" x14ac:dyDescent="0.3">
      <c r="A4" s="22">
        <v>1000</v>
      </c>
      <c r="B4" s="23">
        <v>96623</v>
      </c>
      <c r="C4" s="22">
        <v>89850</v>
      </c>
      <c r="D4" s="24">
        <v>3.8854000000000033</v>
      </c>
      <c r="E4" s="22">
        <v>307</v>
      </c>
    </row>
    <row r="7" spans="1:5" x14ac:dyDescent="0.3">
      <c r="A7" t="s">
        <v>1051</v>
      </c>
      <c r="B7" t="s">
        <v>1052</v>
      </c>
      <c r="C7" t="s">
        <v>1053</v>
      </c>
      <c r="D7" t="s">
        <v>1054</v>
      </c>
      <c r="E7" t="s">
        <v>1055</v>
      </c>
    </row>
    <row r="8" spans="1:5" x14ac:dyDescent="0.3">
      <c r="A8" s="22">
        <v>1000</v>
      </c>
      <c r="B8" s="23">
        <v>96623</v>
      </c>
      <c r="C8" s="22">
        <v>89850</v>
      </c>
      <c r="D8" s="24">
        <v>3.8854000000000033</v>
      </c>
      <c r="E8" s="22">
        <v>307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958E5-6DAA-4D75-93DF-B19C8C456282}">
  <dimension ref="L5:R53"/>
  <sheetViews>
    <sheetView zoomScale="70" zoomScaleNormal="70" workbookViewId="0">
      <selection activeCell="J42" sqref="J42"/>
    </sheetView>
  </sheetViews>
  <sheetFormatPr defaultRowHeight="14.4" x14ac:dyDescent="0.3"/>
  <cols>
    <col min="1" max="16384" width="8.796875" style="26"/>
  </cols>
  <sheetData>
    <row r="5" spans="12:18" ht="15" thickBot="1" x14ac:dyDescent="0.35"/>
    <row r="6" spans="12:18" x14ac:dyDescent="0.3">
      <c r="L6" s="30" t="s">
        <v>1001</v>
      </c>
      <c r="M6" s="31" t="s">
        <v>11</v>
      </c>
      <c r="N6" s="31" t="s">
        <v>9</v>
      </c>
      <c r="O6" s="31" t="s">
        <v>6</v>
      </c>
      <c r="P6" s="31" t="s">
        <v>13</v>
      </c>
      <c r="Q6" s="31" t="s">
        <v>10</v>
      </c>
      <c r="R6" s="32" t="s">
        <v>1083</v>
      </c>
    </row>
    <row r="7" spans="12:18" x14ac:dyDescent="0.3">
      <c r="L7" s="33" t="s">
        <v>17</v>
      </c>
      <c r="M7" s="28">
        <v>1655</v>
      </c>
      <c r="N7" s="28">
        <v>805</v>
      </c>
      <c r="O7" s="28">
        <v>2263</v>
      </c>
      <c r="P7" s="28">
        <v>987</v>
      </c>
      <c r="Q7" s="28">
        <v>1075</v>
      </c>
      <c r="R7" s="34">
        <v>6785</v>
      </c>
    </row>
    <row r="8" spans="12:18" x14ac:dyDescent="0.3">
      <c r="L8" s="33" t="s">
        <v>24</v>
      </c>
      <c r="M8" s="28">
        <v>1233</v>
      </c>
      <c r="N8" s="28">
        <v>223</v>
      </c>
      <c r="O8" s="28">
        <v>1680</v>
      </c>
      <c r="P8" s="28">
        <v>990</v>
      </c>
      <c r="Q8" s="28">
        <v>1508</v>
      </c>
      <c r="R8" s="34">
        <v>5634</v>
      </c>
    </row>
    <row r="9" spans="12:18" x14ac:dyDescent="0.3">
      <c r="L9" s="33" t="s">
        <v>20</v>
      </c>
      <c r="M9" s="28">
        <v>891</v>
      </c>
      <c r="N9" s="28">
        <v>1332</v>
      </c>
      <c r="O9" s="28">
        <v>1282</v>
      </c>
      <c r="P9" s="28">
        <v>739</v>
      </c>
      <c r="Q9" s="28">
        <v>560</v>
      </c>
      <c r="R9" s="34">
        <v>4804</v>
      </c>
    </row>
    <row r="10" spans="12:18" x14ac:dyDescent="0.3">
      <c r="L10" s="33" t="s">
        <v>12</v>
      </c>
      <c r="M10" s="28">
        <v>1991</v>
      </c>
      <c r="N10" s="28">
        <v>1886</v>
      </c>
      <c r="O10" s="28">
        <v>1206</v>
      </c>
      <c r="P10" s="28">
        <v>884</v>
      </c>
      <c r="Q10" s="28">
        <v>1722</v>
      </c>
      <c r="R10" s="34">
        <v>7689</v>
      </c>
    </row>
    <row r="11" spans="12:18" x14ac:dyDescent="0.3">
      <c r="L11" s="33" t="s">
        <v>23</v>
      </c>
      <c r="M11" s="28">
        <v>1104</v>
      </c>
      <c r="N11" s="28">
        <v>2280</v>
      </c>
      <c r="O11" s="28">
        <v>1445</v>
      </c>
      <c r="P11" s="28">
        <v>1722</v>
      </c>
      <c r="Q11" s="28">
        <v>1196</v>
      </c>
      <c r="R11" s="34">
        <v>7747</v>
      </c>
    </row>
    <row r="12" spans="12:18" x14ac:dyDescent="0.3">
      <c r="L12" s="33" t="s">
        <v>7</v>
      </c>
      <c r="M12" s="28">
        <v>372</v>
      </c>
      <c r="N12" s="28">
        <v>1818</v>
      </c>
      <c r="O12" s="28">
        <v>1346</v>
      </c>
      <c r="P12" s="28">
        <v>1156</v>
      </c>
      <c r="Q12" s="28">
        <v>1484</v>
      </c>
      <c r="R12" s="34">
        <v>6176</v>
      </c>
    </row>
    <row r="13" spans="12:18" x14ac:dyDescent="0.3">
      <c r="L13" s="33" t="s">
        <v>15</v>
      </c>
      <c r="M13" s="28">
        <v>1598</v>
      </c>
      <c r="N13" s="28">
        <v>1907</v>
      </c>
      <c r="O13" s="28">
        <v>869</v>
      </c>
      <c r="P13" s="28">
        <v>1426</v>
      </c>
      <c r="Q13" s="28">
        <v>1416</v>
      </c>
      <c r="R13" s="34">
        <v>7216</v>
      </c>
    </row>
    <row r="14" spans="12:18" x14ac:dyDescent="0.3">
      <c r="L14" s="33" t="s">
        <v>5</v>
      </c>
      <c r="M14" s="28">
        <v>900</v>
      </c>
      <c r="N14" s="28">
        <v>1016</v>
      </c>
      <c r="O14" s="28">
        <v>960</v>
      </c>
      <c r="P14" s="28">
        <v>940</v>
      </c>
      <c r="Q14" s="28">
        <v>1193</v>
      </c>
      <c r="R14" s="34">
        <v>5009</v>
      </c>
    </row>
    <row r="15" spans="12:18" x14ac:dyDescent="0.3">
      <c r="L15" s="33" t="s">
        <v>22</v>
      </c>
      <c r="M15" s="28">
        <v>1415</v>
      </c>
      <c r="N15" s="28">
        <v>1271</v>
      </c>
      <c r="O15" s="28">
        <v>1214</v>
      </c>
      <c r="P15" s="28">
        <v>1135</v>
      </c>
      <c r="Q15" s="28">
        <v>1566</v>
      </c>
      <c r="R15" s="34">
        <v>6601</v>
      </c>
    </row>
    <row r="16" spans="12:18" x14ac:dyDescent="0.3">
      <c r="L16" s="33" t="s">
        <v>18</v>
      </c>
      <c r="M16" s="28">
        <v>900</v>
      </c>
      <c r="N16" s="28">
        <v>1470</v>
      </c>
      <c r="O16" s="28">
        <v>1617</v>
      </c>
      <c r="P16" s="28">
        <v>1314</v>
      </c>
      <c r="Q16" s="28">
        <v>941</v>
      </c>
      <c r="R16" s="34">
        <v>6242</v>
      </c>
    </row>
    <row r="17" spans="12:18" x14ac:dyDescent="0.3">
      <c r="L17" s="33" t="s">
        <v>8</v>
      </c>
      <c r="M17" s="28">
        <v>1163</v>
      </c>
      <c r="N17" s="28">
        <v>1180</v>
      </c>
      <c r="O17" s="28">
        <v>1616</v>
      </c>
      <c r="P17" s="28">
        <v>1043</v>
      </c>
      <c r="Q17" s="28">
        <v>1747</v>
      </c>
      <c r="R17" s="34">
        <v>6749</v>
      </c>
    </row>
    <row r="18" spans="12:18" x14ac:dyDescent="0.3">
      <c r="L18" s="33" t="s">
        <v>16</v>
      </c>
      <c r="M18" s="28">
        <v>1438</v>
      </c>
      <c r="N18" s="28">
        <v>1616</v>
      </c>
      <c r="O18" s="28">
        <v>866</v>
      </c>
      <c r="P18" s="28">
        <v>829</v>
      </c>
      <c r="Q18" s="28">
        <v>2070</v>
      </c>
      <c r="R18" s="34">
        <v>6819</v>
      </c>
    </row>
    <row r="19" spans="12:18" x14ac:dyDescent="0.3">
      <c r="L19" s="33" t="s">
        <v>14</v>
      </c>
      <c r="M19" s="28">
        <v>1255</v>
      </c>
      <c r="N19" s="28">
        <v>516</v>
      </c>
      <c r="O19" s="28">
        <v>1874</v>
      </c>
      <c r="P19" s="28">
        <v>1863</v>
      </c>
      <c r="Q19" s="28">
        <v>1722</v>
      </c>
      <c r="R19" s="34">
        <v>7230</v>
      </c>
    </row>
    <row r="20" spans="12:18" x14ac:dyDescent="0.3">
      <c r="L20" s="33" t="s">
        <v>21</v>
      </c>
      <c r="M20" s="28">
        <v>1362</v>
      </c>
      <c r="N20" s="28">
        <v>1363</v>
      </c>
      <c r="O20" s="28">
        <v>1152</v>
      </c>
      <c r="P20" s="28">
        <v>777</v>
      </c>
      <c r="Q20" s="28">
        <v>750</v>
      </c>
      <c r="R20" s="34">
        <v>5404</v>
      </c>
    </row>
    <row r="21" spans="12:18" x14ac:dyDescent="0.3">
      <c r="L21" s="33" t="s">
        <v>19</v>
      </c>
      <c r="M21" s="28">
        <v>1138</v>
      </c>
      <c r="N21" s="28">
        <v>1898</v>
      </c>
      <c r="O21" s="28">
        <v>1482</v>
      </c>
      <c r="P21" s="28">
        <v>846</v>
      </c>
      <c r="Q21" s="28">
        <v>1154</v>
      </c>
      <c r="R21" s="34">
        <v>6518</v>
      </c>
    </row>
    <row r="22" spans="12:18" x14ac:dyDescent="0.3">
      <c r="L22" s="35" t="s">
        <v>1002</v>
      </c>
      <c r="M22" s="29"/>
      <c r="N22" s="29"/>
      <c r="O22" s="29"/>
      <c r="P22" s="29"/>
      <c r="Q22" s="29"/>
      <c r="R22" s="36"/>
    </row>
    <row r="23" spans="12:18" x14ac:dyDescent="0.3">
      <c r="L23" s="33" t="s">
        <v>17</v>
      </c>
      <c r="M23" s="28">
        <v>1655</v>
      </c>
      <c r="N23" s="28">
        <v>805</v>
      </c>
      <c r="O23" s="28">
        <v>2263</v>
      </c>
      <c r="P23" s="28">
        <v>987</v>
      </c>
      <c r="Q23" s="28">
        <v>1075</v>
      </c>
      <c r="R23" s="34">
        <v>6785</v>
      </c>
    </row>
    <row r="24" spans="12:18" x14ac:dyDescent="0.3">
      <c r="L24" s="33" t="s">
        <v>24</v>
      </c>
      <c r="M24" s="28">
        <v>1233</v>
      </c>
      <c r="N24" s="28">
        <v>223</v>
      </c>
      <c r="O24" s="28">
        <v>1680</v>
      </c>
      <c r="P24" s="28">
        <v>990</v>
      </c>
      <c r="Q24" s="28">
        <v>1508</v>
      </c>
      <c r="R24" s="34">
        <v>5634</v>
      </c>
    </row>
    <row r="25" spans="12:18" x14ac:dyDescent="0.3">
      <c r="L25" s="33" t="s">
        <v>20</v>
      </c>
      <c r="M25" s="28">
        <v>891</v>
      </c>
      <c r="N25" s="28">
        <v>1332</v>
      </c>
      <c r="O25" s="28">
        <v>1282</v>
      </c>
      <c r="P25" s="28">
        <v>739</v>
      </c>
      <c r="Q25" s="28">
        <v>560</v>
      </c>
      <c r="R25" s="34">
        <v>4804</v>
      </c>
    </row>
    <row r="26" spans="12:18" x14ac:dyDescent="0.3">
      <c r="L26" s="33" t="s">
        <v>12</v>
      </c>
      <c r="M26" s="28">
        <v>1991</v>
      </c>
      <c r="N26" s="28">
        <v>1886</v>
      </c>
      <c r="O26" s="28">
        <v>1206</v>
      </c>
      <c r="P26" s="28">
        <v>884</v>
      </c>
      <c r="Q26" s="28">
        <v>1722</v>
      </c>
      <c r="R26" s="34">
        <v>7689</v>
      </c>
    </row>
    <row r="27" spans="12:18" x14ac:dyDescent="0.3">
      <c r="L27" s="33" t="s">
        <v>23</v>
      </c>
      <c r="M27" s="28">
        <v>1104</v>
      </c>
      <c r="N27" s="28">
        <v>2280</v>
      </c>
      <c r="O27" s="28">
        <v>1445</v>
      </c>
      <c r="P27" s="28">
        <v>1722</v>
      </c>
      <c r="Q27" s="28">
        <v>1196</v>
      </c>
      <c r="R27" s="34">
        <v>7747</v>
      </c>
    </row>
    <row r="28" spans="12:18" x14ac:dyDescent="0.3">
      <c r="L28" s="33" t="s">
        <v>7</v>
      </c>
      <c r="M28" s="28">
        <v>372</v>
      </c>
      <c r="N28" s="28">
        <v>1818</v>
      </c>
      <c r="O28" s="28">
        <v>1346</v>
      </c>
      <c r="P28" s="28">
        <v>1156</v>
      </c>
      <c r="Q28" s="28">
        <v>1484</v>
      </c>
      <c r="R28" s="34">
        <v>6176</v>
      </c>
    </row>
    <row r="29" spans="12:18" x14ac:dyDescent="0.3">
      <c r="L29" s="33" t="s">
        <v>15</v>
      </c>
      <c r="M29" s="28">
        <v>1598</v>
      </c>
      <c r="N29" s="28">
        <v>1907</v>
      </c>
      <c r="O29" s="28">
        <v>869</v>
      </c>
      <c r="P29" s="28">
        <v>1426</v>
      </c>
      <c r="Q29" s="28">
        <v>1416</v>
      </c>
      <c r="R29" s="34">
        <v>7216</v>
      </c>
    </row>
    <row r="30" spans="12:18" x14ac:dyDescent="0.3">
      <c r="L30" s="33" t="s">
        <v>5</v>
      </c>
      <c r="M30" s="28">
        <v>900</v>
      </c>
      <c r="N30" s="28">
        <v>1016</v>
      </c>
      <c r="O30" s="28">
        <v>960</v>
      </c>
      <c r="P30" s="28">
        <v>940</v>
      </c>
      <c r="Q30" s="28">
        <v>1193</v>
      </c>
      <c r="R30" s="34">
        <v>5009</v>
      </c>
    </row>
    <row r="31" spans="12:18" x14ac:dyDescent="0.3">
      <c r="L31" s="33" t="s">
        <v>22</v>
      </c>
      <c r="M31" s="28">
        <v>1415</v>
      </c>
      <c r="N31" s="28">
        <v>1271</v>
      </c>
      <c r="O31" s="28">
        <v>1214</v>
      </c>
      <c r="P31" s="28">
        <v>1135</v>
      </c>
      <c r="Q31" s="28">
        <v>1566</v>
      </c>
      <c r="R31" s="34">
        <v>6601</v>
      </c>
    </row>
    <row r="32" spans="12:18" x14ac:dyDescent="0.3">
      <c r="L32" s="33" t="s">
        <v>18</v>
      </c>
      <c r="M32" s="28">
        <v>900</v>
      </c>
      <c r="N32" s="28">
        <v>1470</v>
      </c>
      <c r="O32" s="28">
        <v>1617</v>
      </c>
      <c r="P32" s="28">
        <v>1314</v>
      </c>
      <c r="Q32" s="28">
        <v>941</v>
      </c>
      <c r="R32" s="34">
        <v>6242</v>
      </c>
    </row>
    <row r="33" spans="12:18" x14ac:dyDescent="0.3">
      <c r="L33" s="33" t="s">
        <v>8</v>
      </c>
      <c r="M33" s="28">
        <v>1163</v>
      </c>
      <c r="N33" s="28">
        <v>1180</v>
      </c>
      <c r="O33" s="28">
        <v>1616</v>
      </c>
      <c r="P33" s="28">
        <v>1043</v>
      </c>
      <c r="Q33" s="28">
        <v>1747</v>
      </c>
      <c r="R33" s="34">
        <v>6749</v>
      </c>
    </row>
    <row r="34" spans="12:18" x14ac:dyDescent="0.3">
      <c r="L34" s="33" t="s">
        <v>16</v>
      </c>
      <c r="M34" s="28">
        <v>1438</v>
      </c>
      <c r="N34" s="28">
        <v>1616</v>
      </c>
      <c r="O34" s="28">
        <v>866</v>
      </c>
      <c r="P34" s="28">
        <v>829</v>
      </c>
      <c r="Q34" s="28">
        <v>2070</v>
      </c>
      <c r="R34" s="34">
        <v>6819</v>
      </c>
    </row>
    <row r="35" spans="12:18" x14ac:dyDescent="0.3">
      <c r="L35" s="33" t="s">
        <v>14</v>
      </c>
      <c r="M35" s="28">
        <v>1255</v>
      </c>
      <c r="N35" s="28">
        <v>516</v>
      </c>
      <c r="O35" s="28">
        <v>1874</v>
      </c>
      <c r="P35" s="28">
        <v>1863</v>
      </c>
      <c r="Q35" s="28">
        <v>1722</v>
      </c>
      <c r="R35" s="34">
        <v>7230</v>
      </c>
    </row>
    <row r="36" spans="12:18" x14ac:dyDescent="0.3">
      <c r="L36" s="33" t="s">
        <v>21</v>
      </c>
      <c r="M36" s="28">
        <v>1362</v>
      </c>
      <c r="N36" s="28">
        <v>1363</v>
      </c>
      <c r="O36" s="28">
        <v>1152</v>
      </c>
      <c r="P36" s="28">
        <v>777</v>
      </c>
      <c r="Q36" s="28">
        <v>750</v>
      </c>
      <c r="R36" s="34">
        <v>5404</v>
      </c>
    </row>
    <row r="37" spans="12:18" x14ac:dyDescent="0.3">
      <c r="L37" s="33" t="s">
        <v>19</v>
      </c>
      <c r="M37" s="28">
        <v>1138</v>
      </c>
      <c r="N37" s="28">
        <v>1898</v>
      </c>
      <c r="O37" s="28">
        <v>1482</v>
      </c>
      <c r="P37" s="28">
        <v>846</v>
      </c>
      <c r="Q37" s="28">
        <v>1154</v>
      </c>
      <c r="R37" s="34">
        <v>6518</v>
      </c>
    </row>
    <row r="38" spans="12:18" x14ac:dyDescent="0.3">
      <c r="L38" s="35" t="s">
        <v>1000</v>
      </c>
      <c r="M38" s="29"/>
      <c r="N38" s="29"/>
      <c r="O38" s="29"/>
      <c r="P38" s="29"/>
      <c r="Q38" s="29"/>
      <c r="R38" s="36"/>
    </row>
    <row r="39" spans="12:18" x14ac:dyDescent="0.3">
      <c r="L39" s="33" t="s">
        <v>17</v>
      </c>
      <c r="M39" s="28">
        <v>1655</v>
      </c>
      <c r="N39" s="28">
        <v>805</v>
      </c>
      <c r="O39" s="28">
        <v>2263</v>
      </c>
      <c r="P39" s="28">
        <v>987</v>
      </c>
      <c r="Q39" s="28">
        <v>1075</v>
      </c>
      <c r="R39" s="34">
        <v>6785</v>
      </c>
    </row>
    <row r="40" spans="12:18" x14ac:dyDescent="0.3">
      <c r="L40" s="33" t="s">
        <v>24</v>
      </c>
      <c r="M40" s="28">
        <v>1233</v>
      </c>
      <c r="N40" s="28">
        <v>223</v>
      </c>
      <c r="O40" s="28">
        <v>1680</v>
      </c>
      <c r="P40" s="28">
        <v>990</v>
      </c>
      <c r="Q40" s="28">
        <v>1508</v>
      </c>
      <c r="R40" s="34">
        <v>5634</v>
      </c>
    </row>
    <row r="41" spans="12:18" x14ac:dyDescent="0.3">
      <c r="L41" s="33" t="s">
        <v>20</v>
      </c>
      <c r="M41" s="28">
        <v>891</v>
      </c>
      <c r="N41" s="28">
        <v>1332</v>
      </c>
      <c r="O41" s="28">
        <v>1282</v>
      </c>
      <c r="P41" s="28">
        <v>739</v>
      </c>
      <c r="Q41" s="28">
        <v>560</v>
      </c>
      <c r="R41" s="34">
        <v>4804</v>
      </c>
    </row>
    <row r="42" spans="12:18" x14ac:dyDescent="0.3">
      <c r="L42" s="33" t="s">
        <v>12</v>
      </c>
      <c r="M42" s="28">
        <v>1991</v>
      </c>
      <c r="N42" s="28">
        <v>1886</v>
      </c>
      <c r="O42" s="28">
        <v>1206</v>
      </c>
      <c r="P42" s="28">
        <v>884</v>
      </c>
      <c r="Q42" s="28">
        <v>1722</v>
      </c>
      <c r="R42" s="34">
        <v>7689</v>
      </c>
    </row>
    <row r="43" spans="12:18" x14ac:dyDescent="0.3">
      <c r="L43" s="33" t="s">
        <v>23</v>
      </c>
      <c r="M43" s="28">
        <v>1104</v>
      </c>
      <c r="N43" s="28">
        <v>2280</v>
      </c>
      <c r="O43" s="28">
        <v>1445</v>
      </c>
      <c r="P43" s="28">
        <v>1722</v>
      </c>
      <c r="Q43" s="28">
        <v>1196</v>
      </c>
      <c r="R43" s="34">
        <v>7747</v>
      </c>
    </row>
    <row r="44" spans="12:18" x14ac:dyDescent="0.3">
      <c r="L44" s="33" t="s">
        <v>7</v>
      </c>
      <c r="M44" s="28">
        <v>372</v>
      </c>
      <c r="N44" s="28">
        <v>1818</v>
      </c>
      <c r="O44" s="28">
        <v>1346</v>
      </c>
      <c r="P44" s="28">
        <v>1156</v>
      </c>
      <c r="Q44" s="28">
        <v>1484</v>
      </c>
      <c r="R44" s="34">
        <v>6176</v>
      </c>
    </row>
    <row r="45" spans="12:18" x14ac:dyDescent="0.3">
      <c r="L45" s="33" t="s">
        <v>15</v>
      </c>
      <c r="M45" s="28">
        <v>1598</v>
      </c>
      <c r="N45" s="28">
        <v>1907</v>
      </c>
      <c r="O45" s="28">
        <v>869</v>
      </c>
      <c r="P45" s="28">
        <v>1426</v>
      </c>
      <c r="Q45" s="28">
        <v>1416</v>
      </c>
      <c r="R45" s="34">
        <v>7216</v>
      </c>
    </row>
    <row r="46" spans="12:18" x14ac:dyDescent="0.3">
      <c r="L46" s="33" t="s">
        <v>5</v>
      </c>
      <c r="M46" s="28">
        <v>900</v>
      </c>
      <c r="N46" s="28">
        <v>1016</v>
      </c>
      <c r="O46" s="28">
        <v>960</v>
      </c>
      <c r="P46" s="28">
        <v>940</v>
      </c>
      <c r="Q46" s="28">
        <v>1193</v>
      </c>
      <c r="R46" s="34">
        <v>5009</v>
      </c>
    </row>
    <row r="47" spans="12:18" x14ac:dyDescent="0.3">
      <c r="L47" s="33" t="s">
        <v>22</v>
      </c>
      <c r="M47" s="28">
        <v>1415</v>
      </c>
      <c r="N47" s="28">
        <v>1271</v>
      </c>
      <c r="O47" s="28">
        <v>1214</v>
      </c>
      <c r="P47" s="28">
        <v>1135</v>
      </c>
      <c r="Q47" s="28">
        <v>1566</v>
      </c>
      <c r="R47" s="34">
        <v>6601</v>
      </c>
    </row>
    <row r="48" spans="12:18" x14ac:dyDescent="0.3">
      <c r="L48" s="33" t="s">
        <v>18</v>
      </c>
      <c r="M48" s="28">
        <v>900</v>
      </c>
      <c r="N48" s="28">
        <v>1470</v>
      </c>
      <c r="O48" s="28">
        <v>1617</v>
      </c>
      <c r="P48" s="28">
        <v>1314</v>
      </c>
      <c r="Q48" s="28">
        <v>941</v>
      </c>
      <c r="R48" s="34">
        <v>6242</v>
      </c>
    </row>
    <row r="49" spans="12:18" x14ac:dyDescent="0.3">
      <c r="L49" s="33" t="s">
        <v>8</v>
      </c>
      <c r="M49" s="28">
        <v>1163</v>
      </c>
      <c r="N49" s="28">
        <v>1180</v>
      </c>
      <c r="O49" s="28">
        <v>1616</v>
      </c>
      <c r="P49" s="28">
        <v>1043</v>
      </c>
      <c r="Q49" s="28">
        <v>1747</v>
      </c>
      <c r="R49" s="34">
        <v>6749</v>
      </c>
    </row>
    <row r="50" spans="12:18" x14ac:dyDescent="0.3">
      <c r="L50" s="33" t="s">
        <v>16</v>
      </c>
      <c r="M50" s="28">
        <v>1438</v>
      </c>
      <c r="N50" s="28">
        <v>1616</v>
      </c>
      <c r="O50" s="28">
        <v>866</v>
      </c>
      <c r="P50" s="28">
        <v>829</v>
      </c>
      <c r="Q50" s="28">
        <v>2070</v>
      </c>
      <c r="R50" s="34">
        <v>6819</v>
      </c>
    </row>
    <row r="51" spans="12:18" x14ac:dyDescent="0.3">
      <c r="L51" s="33" t="s">
        <v>14</v>
      </c>
      <c r="M51" s="28">
        <v>1255</v>
      </c>
      <c r="N51" s="28">
        <v>516</v>
      </c>
      <c r="O51" s="28">
        <v>1874</v>
      </c>
      <c r="P51" s="28">
        <v>1863</v>
      </c>
      <c r="Q51" s="28">
        <v>1722</v>
      </c>
      <c r="R51" s="34">
        <v>7230</v>
      </c>
    </row>
    <row r="52" spans="12:18" x14ac:dyDescent="0.3">
      <c r="L52" s="33" t="s">
        <v>21</v>
      </c>
      <c r="M52" s="28">
        <v>1362</v>
      </c>
      <c r="N52" s="28">
        <v>1363</v>
      </c>
      <c r="O52" s="28">
        <v>1152</v>
      </c>
      <c r="P52" s="28">
        <v>777</v>
      </c>
      <c r="Q52" s="28">
        <v>750</v>
      </c>
      <c r="R52" s="34">
        <v>5404</v>
      </c>
    </row>
    <row r="53" spans="12:18" ht="15" thickBot="1" x14ac:dyDescent="0.35">
      <c r="L53" s="37" t="s">
        <v>19</v>
      </c>
      <c r="M53" s="38">
        <v>1138</v>
      </c>
      <c r="N53" s="38">
        <v>1898</v>
      </c>
      <c r="O53" s="38">
        <v>1482</v>
      </c>
      <c r="P53" s="38">
        <v>846</v>
      </c>
      <c r="Q53" s="38">
        <v>1154</v>
      </c>
      <c r="R53" s="39">
        <v>6518</v>
      </c>
    </row>
  </sheetData>
  <conditionalFormatting sqref="M6:Q53">
    <cfRule type="dataBar" priority="4">
      <dataBar>
        <cfvo type="num" val="0"/>
        <cfvo type="formula" val="MAX($M$6:$Q$53)*2"/>
        <color rgb="FFFFB628"/>
      </dataBar>
      <extLst>
        <ext xmlns:x14="http://schemas.microsoft.com/office/spreadsheetml/2009/9/main" uri="{B025F937-C7B1-47D3-B67F-A62EFF666E3E}">
          <x14:id>{19D097F5-8328-4BD6-99CE-26B645DF2AD6}</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6A6E6595-A436-4DF9-AB54-266BD6E1D353}">
            <xm:f>M$6=Sheet11!$A$13</xm:f>
            <x14:dxf>
              <fill>
                <patternFill>
                  <bgColor rgb="FFFFC000"/>
                </patternFill>
              </fill>
            </x14:dxf>
          </x14:cfRule>
          <x14:cfRule type="expression" priority="2" id="{5F3B1AE1-7673-4CB7-81F0-B7E0592ACA64}">
            <xm:f>M$6=Sheet11!$A$13</xm:f>
            <x14:dxf/>
          </x14:cfRule>
          <x14:cfRule type="dataBar" id="{19D097F5-8328-4BD6-99CE-26B645DF2AD6}">
            <x14:dataBar minLength="0" maxLength="100" border="1" negativeBarBorderColorSameAsPositive="0">
              <x14:cfvo type="num">
                <xm:f>0</xm:f>
              </x14:cfvo>
              <x14:cfvo type="formula">
                <xm:f>MAX($M$6:$Q$53)*2</xm:f>
              </x14:cfvo>
              <x14:borderColor rgb="FFFFB628"/>
              <x14:negativeFillColor rgb="FFFF0000"/>
              <x14:negativeBorderColor rgb="FFFF0000"/>
              <x14:axisColor rgb="FF000000"/>
            </x14:dataBar>
          </x14:cfRule>
          <xm:sqref>M6:Q53</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7A69F-1D66-478F-8BA0-3C601D700FE3}">
  <dimension ref="A3:C16"/>
  <sheetViews>
    <sheetView workbookViewId="0">
      <selection activeCell="J28" sqref="J28"/>
    </sheetView>
  </sheetViews>
  <sheetFormatPr defaultRowHeight="14.4" x14ac:dyDescent="0.3"/>
  <cols>
    <col min="1" max="1" width="12.19921875" bestFit="1" customWidth="1"/>
    <col min="2" max="2" width="9.5" bestFit="1" customWidth="1"/>
    <col min="3" max="3" width="10.5" bestFit="1" customWidth="1"/>
    <col min="4" max="331" width="10.09765625" bestFit="1" customWidth="1"/>
    <col min="332" max="332" width="10.3984375" bestFit="1" customWidth="1"/>
  </cols>
  <sheetData>
    <row r="3" spans="1:3" x14ac:dyDescent="0.3">
      <c r="A3" s="25" t="s">
        <v>1056</v>
      </c>
      <c r="B3" t="s">
        <v>1051</v>
      </c>
      <c r="C3" t="s">
        <v>1078</v>
      </c>
    </row>
    <row r="4" spans="1:3" x14ac:dyDescent="0.3">
      <c r="A4" s="27" t="s">
        <v>1065</v>
      </c>
      <c r="B4" s="22">
        <v>79</v>
      </c>
      <c r="C4" s="22">
        <v>79</v>
      </c>
    </row>
    <row r="5" spans="1:3" x14ac:dyDescent="0.3">
      <c r="A5" s="27" t="s">
        <v>1066</v>
      </c>
      <c r="B5" s="22">
        <v>66</v>
      </c>
      <c r="C5" s="22">
        <v>66</v>
      </c>
    </row>
    <row r="6" spans="1:3" x14ac:dyDescent="0.3">
      <c r="A6" s="27" t="s">
        <v>1067</v>
      </c>
      <c r="B6" s="22">
        <v>155</v>
      </c>
      <c r="C6" s="22">
        <v>155</v>
      </c>
    </row>
    <row r="7" spans="1:3" x14ac:dyDescent="0.3">
      <c r="A7" s="27" t="s">
        <v>1068</v>
      </c>
      <c r="B7" s="22">
        <v>136</v>
      </c>
      <c r="C7" s="22">
        <v>136</v>
      </c>
    </row>
    <row r="8" spans="1:3" x14ac:dyDescent="0.3">
      <c r="A8" s="27" t="s">
        <v>1069</v>
      </c>
      <c r="B8" s="22">
        <v>83</v>
      </c>
      <c r="C8" s="22">
        <v>83</v>
      </c>
    </row>
    <row r="9" spans="1:3" x14ac:dyDescent="0.3">
      <c r="A9" s="27" t="s">
        <v>1070</v>
      </c>
      <c r="B9" s="22">
        <v>67</v>
      </c>
      <c r="C9" s="22">
        <v>67</v>
      </c>
    </row>
    <row r="10" spans="1:3" x14ac:dyDescent="0.3">
      <c r="A10" s="27" t="s">
        <v>1071</v>
      </c>
      <c r="B10" s="22">
        <v>64</v>
      </c>
      <c r="C10" s="22">
        <v>64</v>
      </c>
    </row>
    <row r="11" spans="1:3" x14ac:dyDescent="0.3">
      <c r="A11" s="27" t="s">
        <v>1072</v>
      </c>
      <c r="B11" s="22">
        <v>50</v>
      </c>
      <c r="C11" s="22">
        <v>50</v>
      </c>
    </row>
    <row r="12" spans="1:3" x14ac:dyDescent="0.3">
      <c r="A12" s="27" t="s">
        <v>1073</v>
      </c>
      <c r="B12" s="22">
        <v>76</v>
      </c>
      <c r="C12" s="22">
        <v>76</v>
      </c>
    </row>
    <row r="13" spans="1:3" x14ac:dyDescent="0.3">
      <c r="A13" s="27" t="s">
        <v>1074</v>
      </c>
      <c r="B13" s="22">
        <v>114</v>
      </c>
      <c r="C13" s="22">
        <v>114</v>
      </c>
    </row>
    <row r="14" spans="1:3" x14ac:dyDescent="0.3">
      <c r="A14" s="27" t="s">
        <v>1075</v>
      </c>
      <c r="B14" s="22">
        <v>57</v>
      </c>
      <c r="C14" s="22">
        <v>57</v>
      </c>
    </row>
    <row r="15" spans="1:3" x14ac:dyDescent="0.3">
      <c r="A15" s="27" t="s">
        <v>1076</v>
      </c>
      <c r="B15" s="22">
        <v>53</v>
      </c>
      <c r="C15" s="22">
        <v>53</v>
      </c>
    </row>
    <row r="16" spans="1:3" x14ac:dyDescent="0.3">
      <c r="A16" s="27" t="s">
        <v>1064</v>
      </c>
      <c r="B16" s="22">
        <v>1000</v>
      </c>
      <c r="C16" s="22">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8048C-8E54-4D61-8FBA-68CD3D320D96}">
  <dimension ref="A3:I18"/>
  <sheetViews>
    <sheetView workbookViewId="0">
      <selection activeCell="J21" sqref="J21"/>
    </sheetView>
  </sheetViews>
  <sheetFormatPr defaultRowHeight="14.4" x14ac:dyDescent="0.3"/>
  <cols>
    <col min="1" max="1" width="12.19921875" bestFit="1" customWidth="1"/>
    <col min="2" max="2" width="9.5" bestFit="1" customWidth="1"/>
    <col min="3" max="3" width="11.59765625" bestFit="1" customWidth="1"/>
  </cols>
  <sheetData>
    <row r="3" spans="1:9" x14ac:dyDescent="0.3">
      <c r="A3" s="25" t="s">
        <v>1056</v>
      </c>
      <c r="B3" t="s">
        <v>1051</v>
      </c>
      <c r="C3" t="s">
        <v>1052</v>
      </c>
    </row>
    <row r="4" spans="1:9" x14ac:dyDescent="0.3">
      <c r="A4" s="27" t="s">
        <v>11</v>
      </c>
      <c r="B4" s="22">
        <v>189</v>
      </c>
      <c r="C4" s="23">
        <v>18415</v>
      </c>
    </row>
    <row r="5" spans="1:9" x14ac:dyDescent="0.3">
      <c r="A5" s="27" t="s">
        <v>9</v>
      </c>
      <c r="B5" s="22">
        <v>218</v>
      </c>
      <c r="C5" s="23">
        <v>20581</v>
      </c>
      <c r="E5" t="s">
        <v>1079</v>
      </c>
      <c r="G5" t="s">
        <v>1081</v>
      </c>
      <c r="H5" t="str">
        <f>A13</f>
        <v>R01</v>
      </c>
    </row>
    <row r="6" spans="1:9" x14ac:dyDescent="0.3">
      <c r="A6" s="27" t="s">
        <v>6</v>
      </c>
      <c r="B6" s="22">
        <v>207</v>
      </c>
      <c r="C6" s="23">
        <v>20872</v>
      </c>
      <c r="H6" t="s">
        <v>1082</v>
      </c>
      <c r="I6" t="s">
        <v>1080</v>
      </c>
    </row>
    <row r="7" spans="1:9" x14ac:dyDescent="0.3">
      <c r="A7" s="27" t="s">
        <v>13</v>
      </c>
      <c r="B7" s="22">
        <v>186</v>
      </c>
      <c r="C7" s="23">
        <v>16651</v>
      </c>
      <c r="E7" s="27" t="s">
        <v>11</v>
      </c>
      <c r="F7" s="22">
        <v>189</v>
      </c>
      <c r="G7" s="23">
        <v>18415</v>
      </c>
      <c r="H7">
        <f>IF(E7=$H$5,F7,NA())</f>
        <v>189</v>
      </c>
      <c r="I7">
        <f>IF(E7=$H$5,G7,NA())</f>
        <v>18415</v>
      </c>
    </row>
    <row r="8" spans="1:9" x14ac:dyDescent="0.3">
      <c r="A8" s="27" t="s">
        <v>10</v>
      </c>
      <c r="B8" s="22">
        <v>200</v>
      </c>
      <c r="C8" s="23">
        <v>20104</v>
      </c>
      <c r="E8" s="27" t="s">
        <v>9</v>
      </c>
      <c r="F8" s="22">
        <v>218</v>
      </c>
      <c r="G8" s="23">
        <v>20581</v>
      </c>
      <c r="H8" t="e">
        <f t="shared" ref="H8:H11" si="0">IF(E8=$H$5,F8,NA())</f>
        <v>#N/A</v>
      </c>
      <c r="I8" t="e">
        <f t="shared" ref="I8:I11" si="1">IF(E8=$H$5,G8,NA())</f>
        <v>#N/A</v>
      </c>
    </row>
    <row r="9" spans="1:9" x14ac:dyDescent="0.3">
      <c r="A9" s="27" t="s">
        <v>1064</v>
      </c>
      <c r="B9" s="22">
        <v>1000</v>
      </c>
      <c r="C9" s="23">
        <v>96623</v>
      </c>
      <c r="E9" s="27" t="s">
        <v>6</v>
      </c>
      <c r="F9" s="22">
        <v>207</v>
      </c>
      <c r="G9" s="23">
        <v>20872</v>
      </c>
      <c r="H9" t="e">
        <f t="shared" si="0"/>
        <v>#N/A</v>
      </c>
      <c r="I9" t="e">
        <f t="shared" si="1"/>
        <v>#N/A</v>
      </c>
    </row>
    <row r="10" spans="1:9" x14ac:dyDescent="0.3">
      <c r="E10" s="27" t="s">
        <v>13</v>
      </c>
      <c r="F10" s="22">
        <v>186</v>
      </c>
      <c r="G10" s="23">
        <v>16651</v>
      </c>
      <c r="H10" t="e">
        <f t="shared" si="0"/>
        <v>#N/A</v>
      </c>
      <c r="I10" t="e">
        <f t="shared" si="1"/>
        <v>#N/A</v>
      </c>
    </row>
    <row r="11" spans="1:9" x14ac:dyDescent="0.3">
      <c r="E11" s="27" t="s">
        <v>10</v>
      </c>
      <c r="F11" s="22">
        <v>200</v>
      </c>
      <c r="G11" s="23">
        <v>20104</v>
      </c>
      <c r="H11" t="e">
        <f t="shared" si="0"/>
        <v>#N/A</v>
      </c>
      <c r="I11" t="e">
        <f t="shared" si="1"/>
        <v>#N/A</v>
      </c>
    </row>
    <row r="12" spans="1:9" x14ac:dyDescent="0.3">
      <c r="A12" s="25" t="s">
        <v>1056</v>
      </c>
    </row>
    <row r="13" spans="1:9" x14ac:dyDescent="0.3">
      <c r="A13" s="27" t="s">
        <v>11</v>
      </c>
    </row>
    <row r="14" spans="1:9" x14ac:dyDescent="0.3">
      <c r="A14" s="27" t="s">
        <v>9</v>
      </c>
    </row>
    <row r="15" spans="1:9" x14ac:dyDescent="0.3">
      <c r="A15" s="27" t="s">
        <v>6</v>
      </c>
    </row>
    <row r="16" spans="1:9" x14ac:dyDescent="0.3">
      <c r="A16" s="27" t="s">
        <v>13</v>
      </c>
    </row>
    <row r="17" spans="1:1" x14ac:dyDescent="0.3">
      <c r="A17" s="27" t="s">
        <v>10</v>
      </c>
    </row>
    <row r="18" spans="1:1" x14ac:dyDescent="0.3">
      <c r="A18" s="27" t="s">
        <v>1064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93AE-7EF7-43F9-8B58-1B0C3C2BFE95}">
  <dimension ref="A3:B9"/>
  <sheetViews>
    <sheetView workbookViewId="0">
      <selection activeCell="B6" sqref="B6"/>
    </sheetView>
  </sheetViews>
  <sheetFormatPr defaultRowHeight="14.4" x14ac:dyDescent="0.3"/>
  <cols>
    <col min="1" max="1" width="12.19921875" bestFit="1" customWidth="1"/>
    <col min="2" max="3" width="19.59765625" bestFit="1" customWidth="1"/>
    <col min="4" max="5" width="10.3984375" bestFit="1" customWidth="1"/>
  </cols>
  <sheetData>
    <row r="3" spans="1:2" x14ac:dyDescent="0.3">
      <c r="A3" s="25" t="s">
        <v>1056</v>
      </c>
      <c r="B3" t="s">
        <v>1084</v>
      </c>
    </row>
    <row r="4" spans="1:2" x14ac:dyDescent="0.3">
      <c r="A4" s="27" t="s">
        <v>11</v>
      </c>
      <c r="B4">
        <v>764</v>
      </c>
    </row>
    <row r="5" spans="1:2" x14ac:dyDescent="0.3">
      <c r="A5" s="27" t="s">
        <v>9</v>
      </c>
      <c r="B5">
        <v>864</v>
      </c>
    </row>
    <row r="6" spans="1:2" x14ac:dyDescent="0.3">
      <c r="A6" s="27" t="s">
        <v>6</v>
      </c>
      <c r="B6">
        <v>813</v>
      </c>
    </row>
    <row r="7" spans="1:2" x14ac:dyDescent="0.3">
      <c r="A7" s="27" t="s">
        <v>13</v>
      </c>
      <c r="B7">
        <v>736</v>
      </c>
    </row>
    <row r="8" spans="1:2" x14ac:dyDescent="0.3">
      <c r="A8" s="27" t="s">
        <v>10</v>
      </c>
      <c r="B8">
        <v>787</v>
      </c>
    </row>
    <row r="9" spans="1:2" x14ac:dyDescent="0.3">
      <c r="A9" s="27" t="s">
        <v>1064</v>
      </c>
      <c r="B9">
        <v>3964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51614-C018-467B-84B9-21C89793DF4F}">
  <dimension ref="A3:B11"/>
  <sheetViews>
    <sheetView workbookViewId="0">
      <selection activeCell="B5" sqref="B5"/>
    </sheetView>
  </sheetViews>
  <sheetFormatPr defaultRowHeight="14.4" x14ac:dyDescent="0.3"/>
  <cols>
    <col min="1" max="1" width="12.19921875" bestFit="1" customWidth="1"/>
    <col min="2" max="2" width="9.5" bestFit="1" customWidth="1"/>
  </cols>
  <sheetData>
    <row r="3" spans="1:2" x14ac:dyDescent="0.3">
      <c r="A3" s="25" t="s">
        <v>1056</v>
      </c>
      <c r="B3" t="s">
        <v>1051</v>
      </c>
    </row>
    <row r="4" spans="1:2" x14ac:dyDescent="0.3">
      <c r="A4" s="27" t="s">
        <v>1062</v>
      </c>
      <c r="B4" s="22">
        <v>141</v>
      </c>
    </row>
    <row r="5" spans="1:2" x14ac:dyDescent="0.3">
      <c r="A5" s="27" t="s">
        <v>1058</v>
      </c>
      <c r="B5" s="22">
        <v>133</v>
      </c>
    </row>
    <row r="6" spans="1:2" x14ac:dyDescent="0.3">
      <c r="A6" s="27" t="s">
        <v>1063</v>
      </c>
      <c r="B6" s="22">
        <v>161</v>
      </c>
    </row>
    <row r="7" spans="1:2" x14ac:dyDescent="0.3">
      <c r="A7" s="27" t="s">
        <v>1057</v>
      </c>
      <c r="B7" s="22">
        <v>146</v>
      </c>
    </row>
    <row r="8" spans="1:2" x14ac:dyDescent="0.3">
      <c r="A8" s="27" t="s">
        <v>1061</v>
      </c>
      <c r="B8" s="22">
        <v>128</v>
      </c>
    </row>
    <row r="9" spans="1:2" x14ac:dyDescent="0.3">
      <c r="A9" s="27" t="s">
        <v>1059</v>
      </c>
      <c r="B9" s="22">
        <v>138</v>
      </c>
    </row>
    <row r="10" spans="1:2" x14ac:dyDescent="0.3">
      <c r="A10" s="27" t="s">
        <v>1060</v>
      </c>
      <c r="B10" s="22">
        <v>153</v>
      </c>
    </row>
    <row r="11" spans="1:2" x14ac:dyDescent="0.3">
      <c r="A11" s="27" t="s">
        <v>1064</v>
      </c>
      <c r="B11" s="22">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4636B-92CE-464C-94DE-6A7A977AFF34}">
  <dimension ref="A3:D8"/>
  <sheetViews>
    <sheetView workbookViewId="0">
      <selection activeCell="A3" sqref="A3:D8"/>
    </sheetView>
  </sheetViews>
  <sheetFormatPr defaultRowHeight="14.4" x14ac:dyDescent="0.3"/>
  <cols>
    <col min="1" max="1" width="12.19921875" bestFit="1" customWidth="1"/>
    <col min="2" max="2" width="15.19921875" bestFit="1" customWidth="1"/>
    <col min="3" max="3" width="4.8984375" bestFit="1" customWidth="1"/>
    <col min="4" max="4" width="10.3984375" bestFit="1" customWidth="1"/>
    <col min="5" max="5" width="3.796875" bestFit="1" customWidth="1"/>
    <col min="6" max="6" width="4.296875" bestFit="1" customWidth="1"/>
    <col min="7" max="7" width="3.59765625" bestFit="1" customWidth="1"/>
    <col min="8" max="8" width="3.09765625" bestFit="1" customWidth="1"/>
    <col min="9" max="9" width="3.8984375" bestFit="1" customWidth="1"/>
    <col min="10" max="10" width="4.09765625" bestFit="1" customWidth="1"/>
    <col min="11" max="11" width="3.796875" bestFit="1" customWidth="1"/>
    <col min="12" max="12" width="4.09765625" bestFit="1" customWidth="1"/>
    <col min="13" max="13" width="4.19921875" bestFit="1" customWidth="1"/>
    <col min="14" max="14" width="6.69921875" bestFit="1" customWidth="1"/>
    <col min="15" max="15" width="4" bestFit="1" customWidth="1"/>
    <col min="16" max="16" width="4.09765625" bestFit="1" customWidth="1"/>
    <col min="17" max="17" width="3.796875" bestFit="1" customWidth="1"/>
    <col min="18" max="18" width="4.296875" bestFit="1" customWidth="1"/>
    <col min="19" max="19" width="3.59765625" bestFit="1" customWidth="1"/>
    <col min="20" max="20" width="3.09765625" bestFit="1" customWidth="1"/>
    <col min="21" max="21" width="3.8984375" bestFit="1" customWidth="1"/>
    <col min="22" max="22" width="4.09765625" bestFit="1" customWidth="1"/>
    <col min="23" max="23" width="3.796875" bestFit="1" customWidth="1"/>
    <col min="24" max="24" width="4.09765625" bestFit="1" customWidth="1"/>
    <col min="25" max="25" width="4.19921875" bestFit="1" customWidth="1"/>
    <col min="26" max="26" width="10.3984375" bestFit="1" customWidth="1"/>
    <col min="27" max="661" width="10.09765625" bestFit="1" customWidth="1"/>
    <col min="662" max="662" width="10.3984375" bestFit="1" customWidth="1"/>
  </cols>
  <sheetData>
    <row r="3" spans="1:4" x14ac:dyDescent="0.3">
      <c r="A3" s="25" t="s">
        <v>1051</v>
      </c>
      <c r="B3" s="25" t="s">
        <v>1077</v>
      </c>
    </row>
    <row r="4" spans="1:4" x14ac:dyDescent="0.3">
      <c r="A4" s="25" t="s">
        <v>1056</v>
      </c>
      <c r="B4" t="s">
        <v>999</v>
      </c>
      <c r="C4" t="s">
        <v>998</v>
      </c>
      <c r="D4" t="s">
        <v>1064</v>
      </c>
    </row>
    <row r="5" spans="1:4" x14ac:dyDescent="0.3">
      <c r="A5" s="27" t="s">
        <v>1002</v>
      </c>
      <c r="B5" s="22">
        <v>144</v>
      </c>
      <c r="C5" s="22">
        <v>132</v>
      </c>
      <c r="D5" s="22">
        <v>276</v>
      </c>
    </row>
    <row r="6" spans="1:4" x14ac:dyDescent="0.3">
      <c r="A6" s="27" t="s">
        <v>1001</v>
      </c>
      <c r="B6" s="22">
        <v>326</v>
      </c>
      <c r="C6" s="22">
        <v>63</v>
      </c>
      <c r="D6" s="22">
        <v>389</v>
      </c>
    </row>
    <row r="7" spans="1:4" x14ac:dyDescent="0.3">
      <c r="A7" s="27" t="s">
        <v>1000</v>
      </c>
      <c r="B7" s="22">
        <v>129</v>
      </c>
      <c r="C7" s="22">
        <v>206</v>
      </c>
      <c r="D7" s="22">
        <v>335</v>
      </c>
    </row>
    <row r="8" spans="1:4" x14ac:dyDescent="0.3">
      <c r="A8" s="27" t="s">
        <v>1064</v>
      </c>
      <c r="B8" s="22">
        <v>599</v>
      </c>
      <c r="C8" s="22">
        <v>401</v>
      </c>
      <c r="D8" s="22">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topLeftCell="B4" zoomScale="115" zoomScaleNormal="115" workbookViewId="0">
      <selection activeCell="G25" sqref="G25"/>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C51DA76E-E63C-4038-BDFD-2DC6BA5E0EAD}">
  <ds:schemaRefs/>
</ds:datastoreItem>
</file>

<file path=customXml/itemProps2.xml><?xml version="1.0" encoding="utf-8"?>
<ds:datastoreItem xmlns:ds="http://schemas.openxmlformats.org/officeDocument/2006/customXml" ds:itemID="{5D67C749-E9CC-477C-B16F-52D80C430AF4}">
  <ds:schemaRefs/>
</ds:datastoreItem>
</file>

<file path=customXml/itemProps3.xml><?xml version="1.0" encoding="utf-8"?>
<ds:datastoreItem xmlns:ds="http://schemas.openxmlformats.org/officeDocument/2006/customXml" ds:itemID="{77609393-A5D7-4395-A6E7-774F1BC1D011}">
  <ds:schemaRefs/>
</ds:datastoreItem>
</file>

<file path=customXml/itemProps4.xml><?xml version="1.0" encoding="utf-8"?>
<ds:datastoreItem xmlns:ds="http://schemas.openxmlformats.org/officeDocument/2006/customXml" ds:itemID="{FE650537-F8A5-46AC-A4B3-8BF77C02F52B}">
  <ds:schemaRefs/>
</ds:datastoreItem>
</file>

<file path=customXml/itemProps5.xml><?xml version="1.0" encoding="utf-8"?>
<ds:datastoreItem xmlns:ds="http://schemas.openxmlformats.org/officeDocument/2006/customXml" ds:itemID="{BB911DF5-F483-4D24-A445-9679170D3ED0}">
  <ds:schemaRefs/>
</ds:datastoreItem>
</file>

<file path=customXml/itemProps6.xml><?xml version="1.0" encoding="utf-8"?>
<ds:datastoreItem xmlns:ds="http://schemas.openxmlformats.org/officeDocument/2006/customXml" ds:itemID="{FA657979-0205-431C-85F1-95053DD2B409}">
  <ds:schemaRefs>
    <ds:schemaRef ds:uri="http://www.w3.org/2001/XMLSchema"/>
    <ds:schemaRef ds:uri="http://microsoft.data.visualization.Client.Excel/1.0"/>
  </ds:schemaRefs>
</ds:datastoreItem>
</file>

<file path=customXml/itemProps7.xml><?xml version="1.0" encoding="utf-8"?>
<ds:datastoreItem xmlns:ds="http://schemas.openxmlformats.org/officeDocument/2006/customXml" ds:itemID="{82125554-4C44-437B-A5CC-5F87E8B6BB4B}">
  <ds:schemaRefs/>
</ds:datastoreItem>
</file>

<file path=customXml/itemProps8.xml><?xml version="1.0" encoding="utf-8"?>
<ds:datastoreItem xmlns:ds="http://schemas.openxmlformats.org/officeDocument/2006/customXml" ds:itemID="{9FCE5D60-DB09-4CF2-9E5D-C56E86286356}">
  <ds:schemaRefs/>
</ds:datastoreItem>
</file>

<file path=customXml/itemProps9.xml><?xml version="1.0" encoding="utf-8"?>
<ds:datastoreItem xmlns:ds="http://schemas.openxmlformats.org/officeDocument/2006/customXml" ds:itemID="{23E59EE3-EBDC-4687-9D53-EC49FECB4DF8}">
  <ds:schemaRefs/>
</ds:datastoreItem>
</file>

<file path=customXml/itemProps10.xml><?xml version="1.0" encoding="utf-8"?>
<ds:datastoreItem xmlns:ds="http://schemas.openxmlformats.org/officeDocument/2006/customXml" ds:itemID="{7A8A03B9-E1DE-4964-B71D-E9609ADE3C77}">
  <ds:schemaRefs/>
</ds:datastoreItem>
</file>

<file path=customXml/itemProps11.xml><?xml version="1.0" encoding="utf-8"?>
<ds:datastoreItem xmlns:ds="http://schemas.openxmlformats.org/officeDocument/2006/customXml" ds:itemID="{B2899CCB-AD54-4746-BE2C-8F3024898614}">
  <ds:schemaRefs/>
</ds:datastoreItem>
</file>

<file path=customXml/itemProps12.xml><?xml version="1.0" encoding="utf-8"?>
<ds:datastoreItem xmlns:ds="http://schemas.openxmlformats.org/officeDocument/2006/customXml" ds:itemID="{0E94B9E1-2F57-4F69-A6E3-1D58F878D6D8}">
  <ds:schemaRefs/>
</ds:datastoreItem>
</file>

<file path=customXml/itemProps13.xml><?xml version="1.0" encoding="utf-8"?>
<ds:datastoreItem xmlns:ds="http://schemas.openxmlformats.org/officeDocument/2006/customXml" ds:itemID="{D38CF0C9-4D7A-40AE-B34D-FBC30FC55894}">
  <ds:schemaRefs/>
</ds:datastoreItem>
</file>

<file path=customXml/itemProps14.xml><?xml version="1.0" encoding="utf-8"?>
<ds:datastoreItem xmlns:ds="http://schemas.openxmlformats.org/officeDocument/2006/customXml" ds:itemID="{BE17FE7B-F005-4024-B9AC-B2084869C62C}">
  <ds:schemaRefs/>
</ds:datastoreItem>
</file>

<file path=customXml/itemProps15.xml><?xml version="1.0" encoding="utf-8"?>
<ds:datastoreItem xmlns:ds="http://schemas.openxmlformats.org/officeDocument/2006/customXml" ds:itemID="{C6A58A9C-6F1B-4792-97E7-D1EB9BC18B8B}">
  <ds:schemaRefs/>
</ds:datastoreItem>
</file>

<file path=customXml/itemProps16.xml><?xml version="1.0" encoding="utf-8"?>
<ds:datastoreItem xmlns:ds="http://schemas.openxmlformats.org/officeDocument/2006/customXml" ds:itemID="{4C2D7753-3270-4AB6-BE37-2BE2DE3C9042}">
  <ds:schemaRefs/>
</ds:datastoreItem>
</file>

<file path=customXml/itemProps17.xml><?xml version="1.0" encoding="utf-8"?>
<ds:datastoreItem xmlns:ds="http://schemas.openxmlformats.org/officeDocument/2006/customXml" ds:itemID="{C6442C26-571F-427B-B593-288DB9769C46}">
  <ds:schemaRefs/>
</ds:datastoreItem>
</file>

<file path=customXml/itemProps18.xml><?xml version="1.0" encoding="utf-8"?>
<ds:datastoreItem xmlns:ds="http://schemas.openxmlformats.org/officeDocument/2006/customXml" ds:itemID="{EDFD839E-7784-4CED-8D22-1E90BC4902AE}">
  <ds:schemaRefs/>
</ds:datastoreItem>
</file>

<file path=customXml/itemProps19.xml><?xml version="1.0" encoding="utf-8"?>
<ds:datastoreItem xmlns:ds="http://schemas.openxmlformats.org/officeDocument/2006/customXml" ds:itemID="{33A124A2-35D1-4BFF-8330-A877BF412F0A}">
  <ds:schemaRefs/>
</ds:datastoreItem>
</file>

<file path=customXml/itemProps20.xml><?xml version="1.0" encoding="utf-8"?>
<ds:datastoreItem xmlns:ds="http://schemas.openxmlformats.org/officeDocument/2006/customXml" ds:itemID="{DEF85788-FC67-4A97-A11C-B74D5D9501C8}">
  <ds:schemaRefs/>
</ds:datastoreItem>
</file>

<file path=customXml/itemProps21.xml><?xml version="1.0" encoding="utf-8"?>
<ds:datastoreItem xmlns:ds="http://schemas.openxmlformats.org/officeDocument/2006/customXml" ds:itemID="{241FF82B-60A7-4959-9EEA-118A76F6BA3C}">
  <ds:schemaRefs/>
</ds:datastoreItem>
</file>

<file path=customXml/itemProps22.xml><?xml version="1.0" encoding="utf-8"?>
<ds:datastoreItem xmlns:ds="http://schemas.openxmlformats.org/officeDocument/2006/customXml" ds:itemID="{ADBA09E2-96E6-489F-AA39-94A8027575A8}">
  <ds:schemaRefs/>
</ds:datastoreItem>
</file>

<file path=customXml/itemProps23.xml><?xml version="1.0" encoding="utf-8"?>
<ds:datastoreItem xmlns:ds="http://schemas.openxmlformats.org/officeDocument/2006/customXml" ds:itemID="{0B64FDD9-3ECA-4F40-9555-DAA4F87F9946}">
  <ds:schemaRefs/>
</ds:datastoreItem>
</file>

<file path=customXml/itemProps24.xml><?xml version="1.0" encoding="utf-8"?>
<ds:datastoreItem xmlns:ds="http://schemas.openxmlformats.org/officeDocument/2006/customXml" ds:itemID="{4637FF89-C7F9-4EA9-B3BF-E242CD12A536}">
  <ds:schemaRefs>
    <ds:schemaRef ds:uri="http://www.w3.org/2001/XMLSchema"/>
    <ds:schemaRef ds:uri="http://microsoft.data.visualization.engine.tours/1.0"/>
  </ds:schemaRefs>
</ds:datastoreItem>
</file>

<file path=customXml/itemProps25.xml><?xml version="1.0" encoding="utf-8"?>
<ds:datastoreItem xmlns:ds="http://schemas.openxmlformats.org/officeDocument/2006/customXml" ds:itemID="{A617A7A5-8C3E-49C0-8028-9624BEFC224D}">
  <ds:schemaRefs/>
</ds:datastoreItem>
</file>

<file path=customXml/itemProps26.xml><?xml version="1.0" encoding="utf-8"?>
<ds:datastoreItem xmlns:ds="http://schemas.openxmlformats.org/officeDocument/2006/customXml" ds:itemID="{901D37A1-6FAF-46DE-8736-3438BADAF600}">
  <ds:schemaRefs/>
</ds:datastoreItem>
</file>

<file path=customXml/itemProps27.xml><?xml version="1.0" encoding="utf-8"?>
<ds:datastoreItem xmlns:ds="http://schemas.openxmlformats.org/officeDocument/2006/customXml" ds:itemID="{F1F3E0D6-DDF8-493C-A20D-706D47BFF95D}">
  <ds:schemaRefs/>
</ds:datastoreItem>
</file>

<file path=customXml/itemProps28.xml><?xml version="1.0" encoding="utf-8"?>
<ds:datastoreItem xmlns:ds="http://schemas.openxmlformats.org/officeDocument/2006/customXml" ds:itemID="{AD97B85C-33FB-4582-8543-0875C39117EF}">
  <ds:schemaRefs/>
</ds:datastoreItem>
</file>

<file path=customXml/itemProps29.xml><?xml version="1.0" encoding="utf-8"?>
<ds:datastoreItem xmlns:ds="http://schemas.openxmlformats.org/officeDocument/2006/customXml" ds:itemID="{B8FE3533-0727-4959-BC8F-403E861F60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Sheet5</vt:lpstr>
      <vt:lpstr>Dashboard</vt:lpstr>
      <vt:lpstr>Sheet9</vt:lpstr>
      <vt:lpstr>Sheet11</vt:lpstr>
      <vt:lpstr>Sheet17</vt:lpstr>
      <vt:lpstr>Sheet19</vt:lpstr>
      <vt:lpstr>Sheet21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Jayasree Nandakumar</cp:lastModifiedBy>
  <dcterms:created xsi:type="dcterms:W3CDTF">2021-03-14T20:21:32Z</dcterms:created>
  <dcterms:modified xsi:type="dcterms:W3CDTF">2026-09-09T15:07:45Z</dcterms:modified>
</cp:coreProperties>
</file>